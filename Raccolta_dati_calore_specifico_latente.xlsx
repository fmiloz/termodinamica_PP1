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truzioni" sheetId="1" state="visible" r:id="rId3"/>
    <sheet name="Parametri" sheetId="2" state="visible" r:id="rId4"/>
    <sheet name="Calore specifico" sheetId="3" state="visible" r:id="rId5"/>
    <sheet name="Riepilogo c" sheetId="4" state="visible" r:id="rId6"/>
    <sheet name="Calore latente" sheetId="5" state="visible" r:id="rId7"/>
    <sheet name="Massa equivalen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<sst xmlns="http://schemas.openxmlformats.org/spreadsheetml/2006/main" count="151" uniqueCount="116">
  <si>
    <t xml:space="preserve">Raccolta dati - Calore specifico e calore latente di fusione del ghiaccio</t>
  </si>
  <si>
    <t xml:space="preserve">Corso di Termodinamica e Laboratorio</t>
  </si>
  <si>
    <t xml:space="preserve">Legenda colori</t>
  </si>
  <si>
    <t xml:space="preserve">Cella gialla, testo blu</t>
  </si>
  <si>
    <t xml:space="preserve">Dato da inserire (misura)</t>
  </si>
  <si>
    <t xml:space="preserve">Cella azzurra</t>
  </si>
  <si>
    <t xml:space="preserve">Formula calcolata automaticamente: non modificare</t>
  </si>
  <si>
    <t xml:space="preserve">Riga grigia 'ESEMPIO'</t>
  </si>
  <si>
    <t xml:space="preserve">Riga dimostrativa con valori inventati per mostrare il formato; non entra in medie e statistiche</t>
  </si>
  <si>
    <t xml:space="preserve">Fogli</t>
  </si>
  <si>
    <t xml:space="preserve">Parametri</t>
  </si>
  <si>
    <t xml:space="preserve">Calore specifico acqua, massa equivalente thermos Me, incertezze strumentali (modificabili)</t>
  </si>
  <si>
    <t xml:space="preserve">Calore specifico</t>
  </si>
  <si>
    <t xml:space="preserve">Una riga per misura (eq. 3). Alluminio: almeno 5 misure; altri materiali: almeno 2</t>
  </si>
  <si>
    <t xml:space="preserve">Riepilogo c</t>
  </si>
  <si>
    <t xml:space="preserve">Media, dispersione e confronto con valori di letteratura per ogni materiale</t>
  </si>
  <si>
    <t xml:space="preserve">Calore latente</t>
  </si>
  <si>
    <t xml:space="preserve">Misure del calore latente di fusione del ghiaccio (eq. 4), almeno 2 ripetizioni</t>
  </si>
  <si>
    <t xml:space="preserve">Massa equivalente</t>
  </si>
  <si>
    <t xml:space="preserve">Misura opzionale di Me (eq. 1)</t>
  </si>
  <si>
    <t xml:space="preserve">Note</t>
  </si>
  <si>
    <t xml:space="preserve">Pesate</t>
  </si>
  <si>
    <t xml:space="preserve">Le masse di acqua e ghiaccio si ottengono per differenza: inserire le pesate lorde, i calcoli sono automatici</t>
  </si>
  <si>
    <t xml:space="preserve">Incertezze</t>
  </si>
  <si>
    <t xml:space="preserve">Propagate in quadratura assumendo errori indipendenti; i valori di sigma sono ipotesi iniziali da aggiornare con la risoluzione reale di bilancia e termometri</t>
  </si>
  <si>
    <t xml:space="preserve">Temperature</t>
  </si>
  <si>
    <t xml:space="preserve">Tutte in gradi Celsius; differenze in K equivalenti</t>
  </si>
  <si>
    <t xml:space="preserve">Valori modificabili (celle gialle). Gli altri fogli li richiamano automaticamente</t>
  </si>
  <si>
    <t xml:space="preserve">Parametro</t>
  </si>
  <si>
    <t xml:space="preserve">Valore</t>
  </si>
  <si>
    <t xml:space="preserve">Unità</t>
  </si>
  <si>
    <t xml:space="preserve">Fonte / nota</t>
  </si>
  <si>
    <t xml:space="preserve">Calore specifico acqua c_a</t>
  </si>
  <si>
    <t xml:space="preserve">cal/(g·K)</t>
  </si>
  <si>
    <t xml:space="preserve">Dato della traccia (c_a = 1 cal/gK)</t>
  </si>
  <si>
    <t xml:space="preserve">Massa equivalente thermos M_e</t>
  </si>
  <si>
    <t xml:space="preserve">g</t>
  </si>
  <si>
    <t xml:space="preserve">Dato della traccia: (25 ± 5) g; sostituire con la misura se eseguita</t>
  </si>
  <si>
    <t xml:space="preserve">Incertezza su M_e</t>
  </si>
  <si>
    <t xml:space="preserve">Dato della traccia</t>
  </si>
  <si>
    <t xml:space="preserve">Incertezza singola pesata σ_m</t>
  </si>
  <si>
    <t xml:space="preserve">Ipotesi: risoluzione bilancia da verificare sullo strumento</t>
  </si>
  <si>
    <t xml:space="preserve">Incertezza su massa per differenza σ_md</t>
  </si>
  <si>
    <t xml:space="preserve">Calcolata: due pesate indipendenti</t>
  </si>
  <si>
    <t xml:space="preserve">Incertezza temperatura σ_T</t>
  </si>
  <si>
    <t xml:space="preserve">°C</t>
  </si>
  <si>
    <t xml:space="preserve">Ipotesi: risoluzione termometro da verificare</t>
  </si>
  <si>
    <t xml:space="preserve">Temperatura ghiaccio T_g</t>
  </si>
  <si>
    <t xml:space="preserve">Dato della traccia (ghiaccio alla temperatura di fusione)</t>
  </si>
  <si>
    <t xml:space="preserve">Fattore di conversione cal → J</t>
  </si>
  <si>
    <t xml:space="preserve">J/cal</t>
  </si>
  <si>
    <t xml:space="preserve">Valore standard (1 cal = 4,186 J)</t>
  </si>
  <si>
    <t xml:space="preserve">Misura del calore specifico (eq. 3)</t>
  </si>
  <si>
    <t xml:space="preserve">c1 = c_a (m_a + M_e)(T_a - T_f) / [m1 (T_f - T1)]   -   blocchetto a T1 trasferito nel thermos con acqua m_a a T_a</t>
  </si>
  <si>
    <t xml:space="preserve">Materiale</t>
  </si>
  <si>
    <t xml:space="preserve">N° misura</t>
  </si>
  <si>
    <t xml:space="preserve">Massa blocchetto m1 (g)</t>
  </si>
  <si>
    <t xml:space="preserve">T1 blocchetto in acqua calda (°C)</t>
  </si>
  <si>
    <t xml:space="preserve">Massa thermos vuoto (g)</t>
  </si>
  <si>
    <t xml:space="preserve">Massa thermos + acqua (g)</t>
  </si>
  <si>
    <t xml:space="preserve">Massa acqua m_a (g)</t>
  </si>
  <si>
    <t xml:space="preserve">T_a acqua ambiente (°C)</t>
  </si>
  <si>
    <t xml:space="preserve">T_f equilibrio (°C)</t>
  </si>
  <si>
    <t xml:space="preserve">c1 (cal/g·K)</t>
  </si>
  <si>
    <t xml:space="preserve">σ(c1) (cal/g·K)</t>
  </si>
  <si>
    <t xml:space="preserve">σ(c1)/c1 (%)</t>
  </si>
  <si>
    <t xml:space="preserve">ESEMPIO (Alluminio)</t>
  </si>
  <si>
    <t xml:space="preserve">valori inventati</t>
  </si>
  <si>
    <t xml:space="preserve">Alluminio</t>
  </si>
  <si>
    <t xml:space="preserve">Ottone</t>
  </si>
  <si>
    <t xml:space="preserve">Okite</t>
  </si>
  <si>
    <t xml:space="preserve">Granito</t>
  </si>
  <si>
    <t xml:space="preserve">Nota: il blocchetto, riga 'ESEMPIO' esclusa, va pesato prima dell'immersione. Alluminio: almeno 5 misure (7 righe disponibili); altri materiali: almeno 2 misure (3 righe).</t>
  </si>
  <si>
    <t xml:space="preserve">Riepilogo calore specifico per materiale</t>
  </si>
  <si>
    <t xml:space="preserve">Media, dispersione e confronto con letteratura</t>
  </si>
  <si>
    <t xml:space="preserve">N misure</t>
  </si>
  <si>
    <t xml:space="preserve">Media c (cal/g·K)</t>
  </si>
  <si>
    <t xml:space="preserve">Dev. standard s (cal/g·K)</t>
  </si>
  <si>
    <t xml:space="preserve">Dev. standard della media s/√N</t>
  </si>
  <si>
    <t xml:space="preserve">σ propagata media (cal/g·K)</t>
  </si>
  <si>
    <t xml:space="preserve">Media c (J/g·K)</t>
  </si>
  <si>
    <t xml:space="preserve">c letteratura (cal/g·K)</t>
  </si>
  <si>
    <t xml:space="preserve">Scarto da letteratura (%)</t>
  </si>
  <si>
    <t xml:space="preserve">Nota</t>
  </si>
  <si>
    <t xml:space="preserve">Valore indicativo di letteratura (0,90 J/gK): verificare</t>
  </si>
  <si>
    <t xml:space="preserve">Valore indicativo di letteratura (0,385 J/gK): verificare</t>
  </si>
  <si>
    <t xml:space="preserve">Valore di riferimento non noto: inserire se disponibile</t>
  </si>
  <si>
    <t xml:space="preserve">Valore indicativo di letteratura (0,79 J/gK), varia con la composizione: verificare</t>
  </si>
  <si>
    <t xml:space="preserve">Confrontare s (dispersione delle misure ripetute) con σ propagata: se s ≫ σ ci sono errori sistematici o variazioni non controllate tra le misure.</t>
  </si>
  <si>
    <t xml:space="preserve">Misura del calore latente di fusione del ghiaccio (eq. 4)</t>
  </si>
  <si>
    <t xml:space="preserve">λ_g = c_a [ (m_a + M_e)(T_a - T_f) / m_g - (T_f - T_g) ]</t>
  </si>
  <si>
    <t xml:space="preserve">Massa thermos + acqua calda, prima (g)</t>
  </si>
  <si>
    <t xml:space="preserve">Massa thermos dopo aggiunta ghiaccio sciolto (g)</t>
  </si>
  <si>
    <t xml:space="preserve">Massa ghiaccio m_g (g)</t>
  </si>
  <si>
    <t xml:space="preserve">T_a acqua calda (°C)</t>
  </si>
  <si>
    <t xml:space="preserve">λ_g (cal/g)</t>
  </si>
  <si>
    <t xml:space="preserve">σ(λ_g) (cal/g)</t>
  </si>
  <si>
    <t xml:space="preserve">λ_g (J/g)</t>
  </si>
  <si>
    <t xml:space="preserve">σ(λ_g)/λ_g (%)</t>
  </si>
  <si>
    <t xml:space="preserve">ESEMPIO</t>
  </si>
  <si>
    <t xml:space="preserve">Media</t>
  </si>
  <si>
    <t xml:space="preserve">Dev. standard s</t>
  </si>
  <si>
    <t xml:space="preserve">Dev. standard della media</t>
  </si>
  <si>
    <t xml:space="preserve">Letteratura (cal/g)</t>
  </si>
  <si>
    <t xml:space="preserve">Valore indicativo di letteratura (333,5 J/g): verificare</t>
  </si>
  <si>
    <t xml:space="preserve">Nota: m_g = aumento di massa del thermos caldo dopo il trasferimento (ghiaccio + eventuale acqua aderente a 0 °C). Alternativa: pesare il contenitore del ghiaccio prima e dopo il trasferimento.</t>
  </si>
  <si>
    <t xml:space="preserve">Massa equivalente del thermos in acqua (opzionale)</t>
  </si>
  <si>
    <t xml:space="preserve">M_e = m2 (T2 - T_f)/(T_f - T1) - m1   -   m1 = acqua calda nel thermos in esame (T1), m2 = acqua fredda versata (T2)</t>
  </si>
  <si>
    <t xml:space="preserve">m1 acqua calda (g)</t>
  </si>
  <si>
    <t xml:space="preserve">T1 (°C)</t>
  </si>
  <si>
    <t xml:space="preserve">m2 acqua fredda (g)</t>
  </si>
  <si>
    <t xml:space="preserve">T2 (°C)</t>
  </si>
  <si>
    <t xml:space="preserve">M_e (g)</t>
  </si>
  <si>
    <t xml:space="preserve">σ(M_e) (g)</t>
  </si>
  <si>
    <t xml:space="preserve">Media M_e</t>
  </si>
  <si>
    <t xml:space="preserve">Se si usa questo valore al posto di 25 g, aggiornarlo in 'Parametri'. m1 e m2 sono masse d'acqua (pesate per differenza), quindi con incertezza σ_md.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</si>
</sst>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EAF1FB"/>
        <bgColor rgb="FFE7E6E6"/>
      </patternFill>
    </fill>
    <fill>
      <patternFill patternType="solid">
        <fgColor rgb="FFE7E6E6"/>
        <bgColor rgb="FFEAF1FB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DB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7" t="s">
        <v>7</v>
      </c>
      <c r="B7" s="4" t="s">
        <v>8</v>
      </c>
    </row>
    <row r="8" customFormat="false" ht="15" hidden="false" customHeight="false" outlineLevel="0" collapsed="false">
      <c r="A8" s="8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15" hidden="false" customHeight="false" outlineLevel="0" collapsed="false">
      <c r="A10" s="8" t="s">
        <v>10</v>
      </c>
      <c r="B10" s="4" t="s">
        <v>11</v>
      </c>
    </row>
    <row r="11" customFormat="false" ht="15" hidden="false" customHeight="false" outlineLevel="0" collapsed="false">
      <c r="A11" s="8" t="s">
        <v>12</v>
      </c>
      <c r="B11" s="4" t="s">
        <v>13</v>
      </c>
    </row>
    <row r="12" customFormat="false" ht="15" hidden="false" customHeight="false" outlineLevel="0" collapsed="false">
      <c r="A12" s="8" t="s">
        <v>14</v>
      </c>
      <c r="B12" s="4" t="s">
        <v>15</v>
      </c>
    </row>
    <row r="13" customFormat="false" ht="15" hidden="false" customHeight="false" outlineLevel="0" collapsed="false">
      <c r="A13" s="8" t="s">
        <v>16</v>
      </c>
      <c r="B13" s="4" t="s">
        <v>17</v>
      </c>
    </row>
    <row r="14" customFormat="false" ht="15" hidden="false" customHeight="false" outlineLevel="0" collapsed="false">
      <c r="A14" s="8" t="s">
        <v>18</v>
      </c>
      <c r="B14" s="4" t="s">
        <v>19</v>
      </c>
    </row>
    <row r="15" customFormat="false" ht="15" hidden="false" customHeight="false" outlineLevel="0" collapsed="false">
      <c r="A15" s="8"/>
      <c r="B15" s="4"/>
    </row>
    <row r="16" customFormat="false" ht="15" hidden="false" customHeight="false" outlineLevel="0" collapsed="false">
      <c r="A16" s="3" t="s">
        <v>20</v>
      </c>
      <c r="B16" s="4"/>
    </row>
    <row r="17" customFormat="false" ht="15" hidden="false" customHeight="false" outlineLevel="0" collapsed="false">
      <c r="A17" s="8" t="s">
        <v>21</v>
      </c>
      <c r="B17" s="4" t="s">
        <v>22</v>
      </c>
    </row>
    <row r="18" customFormat="false" ht="23.85" hidden="false" customHeight="false" outlineLevel="0" collapsed="false">
      <c r="A18" s="8" t="s">
        <v>23</v>
      </c>
      <c r="B18" s="4" t="s">
        <v>24</v>
      </c>
    </row>
    <row r="19" customFormat="false" ht="15" hidden="false" customHeight="false" outlineLevel="0" collapsed="false">
      <c r="A19" s="8" t="s">
        <v>25</v>
      </c>
      <c r="B19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27</v>
      </c>
    </row>
    <row r="3" customFormat="false" ht="48" hidden="false" customHeight="true" outlineLevel="0" collapsed="false">
      <c r="A3" s="9" t="s">
        <v>28</v>
      </c>
      <c r="B3" s="9" t="s">
        <v>29</v>
      </c>
      <c r="C3" s="9" t="s">
        <v>30</v>
      </c>
      <c r="D3" s="9" t="s">
        <v>31</v>
      </c>
    </row>
    <row r="4" customFormat="false" ht="15" hidden="false" customHeight="false" outlineLevel="0" collapsed="false">
      <c r="A4" s="10" t="s">
        <v>32</v>
      </c>
      <c r="B4" s="11" t="n">
        <v>1</v>
      </c>
      <c r="C4" s="12" t="s">
        <v>33</v>
      </c>
      <c r="D4" s="10" t="s">
        <v>34</v>
      </c>
    </row>
    <row r="5" customFormat="false" ht="15" hidden="false" customHeight="false" outlineLevel="0" collapsed="false">
      <c r="A5" s="10" t="s">
        <v>35</v>
      </c>
      <c r="B5" s="11" t="n">
        <v>25</v>
      </c>
      <c r="C5" s="12" t="s">
        <v>36</v>
      </c>
      <c r="D5" s="10" t="s">
        <v>37</v>
      </c>
    </row>
    <row r="6" customFormat="false" ht="15" hidden="false" customHeight="false" outlineLevel="0" collapsed="false">
      <c r="A6" s="10" t="s">
        <v>38</v>
      </c>
      <c r="B6" s="11" t="n">
        <v>5</v>
      </c>
      <c r="C6" s="12" t="s">
        <v>36</v>
      </c>
      <c r="D6" s="10" t="s">
        <v>39</v>
      </c>
    </row>
    <row r="7" customFormat="false" ht="15" hidden="false" customHeight="false" outlineLevel="0" collapsed="false">
      <c r="A7" s="10" t="s">
        <v>40</v>
      </c>
      <c r="B7" s="11" t="n">
        <v>0.1</v>
      </c>
      <c r="C7" s="12" t="s">
        <v>36</v>
      </c>
      <c r="D7" s="10" t="s">
        <v>41</v>
      </c>
    </row>
    <row r="8" customFormat="false" ht="15" hidden="false" customHeight="false" outlineLevel="0" collapsed="false">
      <c r="A8" s="10" t="s">
        <v>42</v>
      </c>
      <c r="B8" s="13" t="n">
        <f aca="false">SQRT(2)*B7</f>
        <v>0.14142135623731</v>
      </c>
      <c r="C8" s="12" t="s">
        <v>36</v>
      </c>
      <c r="D8" s="10" t="s">
        <v>43</v>
      </c>
    </row>
    <row r="9" customFormat="false" ht="15" hidden="false" customHeight="false" outlineLevel="0" collapsed="false">
      <c r="A9" s="10" t="s">
        <v>44</v>
      </c>
      <c r="B9" s="11" t="n">
        <v>0.1</v>
      </c>
      <c r="C9" s="12" t="s">
        <v>45</v>
      </c>
      <c r="D9" s="10" t="s">
        <v>46</v>
      </c>
    </row>
    <row r="10" customFormat="false" ht="15" hidden="false" customHeight="false" outlineLevel="0" collapsed="false">
      <c r="A10" s="10" t="s">
        <v>47</v>
      </c>
      <c r="B10" s="11" t="n">
        <v>0</v>
      </c>
      <c r="C10" s="12" t="s">
        <v>45</v>
      </c>
      <c r="D10" s="10" t="s">
        <v>48</v>
      </c>
    </row>
    <row r="11" customFormat="false" ht="15" hidden="false" customHeight="false" outlineLevel="0" collapsed="false">
      <c r="A11" s="10" t="s">
        <v>49</v>
      </c>
      <c r="B11" s="11" t="n">
        <v>4.186</v>
      </c>
      <c r="C11" s="12" t="s">
        <v>50</v>
      </c>
      <c r="D11" s="1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1" min="9" style="0" width="12"/>
    <col collapsed="false" customWidth="true" hidden="false" outlineLevel="0" max="12" min="12" style="0" width="11"/>
    <col collapsed="false" customWidth="true" hidden="false" outlineLevel="0" max="13" min="13" style="0" width="28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48" hidden="false" customHeight="true" outlineLevel="0" collapsed="false">
      <c r="A4" s="9" t="s">
        <v>54</v>
      </c>
      <c r="B4" s="9" t="s">
        <v>55</v>
      </c>
      <c r="C4" s="9" t="s">
        <v>56</v>
      </c>
      <c r="D4" s="9" t="s">
        <v>57</v>
      </c>
      <c r="E4" s="9" t="s">
        <v>58</v>
      </c>
      <c r="F4" s="9" t="s">
        <v>59</v>
      </c>
      <c r="G4" s="9" t="s">
        <v>60</v>
      </c>
      <c r="H4" s="9" t="s">
        <v>61</v>
      </c>
      <c r="I4" s="9" t="s">
        <v>62</v>
      </c>
      <c r="J4" s="9" t="s">
        <v>63</v>
      </c>
      <c r="K4" s="9" t="s">
        <v>64</v>
      </c>
      <c r="L4" s="9" t="s">
        <v>65</v>
      </c>
      <c r="M4" s="9" t="s">
        <v>20</v>
      </c>
    </row>
    <row r="5" customFormat="false" ht="15" hidden="false" customHeight="false" outlineLevel="0" collapsed="false">
      <c r="A5" s="14" t="s">
        <v>66</v>
      </c>
      <c r="B5" s="14" t="n">
        <v>1</v>
      </c>
      <c r="C5" s="15" t="n">
        <v>120.5</v>
      </c>
      <c r="D5" s="15" t="n">
        <v>64.2</v>
      </c>
      <c r="E5" s="15" t="n">
        <v>310.4</v>
      </c>
      <c r="F5" s="15" t="n">
        <v>510.9</v>
      </c>
      <c r="G5" s="15" t="n">
        <f aca="false">IF(COUNT(E5:F5)&lt;2,"",F5-E5)</f>
        <v>200.5</v>
      </c>
      <c r="H5" s="15" t="n">
        <v>24.8</v>
      </c>
      <c r="I5" s="15" t="n">
        <v>28.9</v>
      </c>
      <c r="J5" s="16" t="n">
        <f aca="false">IF(COUNT(C5:D5,G5:I5)&lt;5,"",Parametri!$B$4*(G5+Parametri!$B$5)*(H5-I5)/(C5*(I5-D5)))</f>
        <v>0.21735450730549</v>
      </c>
      <c r="K5" s="16" t="n">
        <f aca="false">IF(J5="","",J5*SQRT((Parametri!$B$8^2+Parametri!$B$6^2)/(G5+Parametri!$B$5)^2+Parametri!$B$9^2/(H5-I5)^2+Parametri!$B$7^2/C5^2+Parametri!$B$9^2*(1/(H5-I5)+1/(I5-D5))^2+Parametri!$B$9^2/(I5-D5)^2))</f>
        <v>0.00931517676279752</v>
      </c>
      <c r="L5" s="15" t="n">
        <f aca="false">IF(J5="","",100*K5/J5)</f>
        <v>4.28570673701517</v>
      </c>
      <c r="M5" s="14" t="s">
        <v>67</v>
      </c>
    </row>
    <row r="6" customFormat="false" ht="15" hidden="false" customHeight="false" outlineLevel="0" collapsed="false">
      <c r="A6" s="11" t="s">
        <v>68</v>
      </c>
      <c r="B6" s="11" t="n">
        <v>1</v>
      </c>
      <c r="C6" s="17"/>
      <c r="D6" s="17"/>
      <c r="E6" s="17"/>
      <c r="F6" s="17"/>
      <c r="G6" s="18" t="str">
        <f aca="false">IF(COUNT(E6:F6)&lt;2,"",F6-E6)</f>
        <v/>
      </c>
      <c r="H6" s="17"/>
      <c r="I6" s="17"/>
      <c r="J6" s="19" t="str">
        <f aca="false">IF(COUNT(C6:D6,G6:I6)&lt;5,"",Parametri!$B$4*(G6+Parametri!$B$5)*(H6-I6)/(C6*(I6-D6)))</f>
        <v/>
      </c>
      <c r="K6" s="19" t="str">
        <f aca="false">IF(J6="","",J6*SQRT((Parametri!$B$8^2+Parametri!$B$6^2)/(G6+Parametri!$B$5)^2+Parametri!$B$9^2/(H6-I6)^2+Parametri!$B$7^2/C6^2+Parametri!$B$9^2*(1/(H6-I6)+1/(I6-D6))^2+Parametri!$B$9^2/(I6-D6)^2))</f>
        <v/>
      </c>
      <c r="L6" s="18" t="str">
        <f aca="false">IF(J6="","",100*K6/J6)</f>
        <v/>
      </c>
      <c r="M6" s="11"/>
    </row>
    <row r="7" customFormat="false" ht="15" hidden="false" customHeight="false" outlineLevel="0" collapsed="false">
      <c r="A7" s="11" t="s">
        <v>68</v>
      </c>
      <c r="B7" s="11" t="n">
        <v>2</v>
      </c>
      <c r="C7" s="17"/>
      <c r="D7" s="17"/>
      <c r="E7" s="17"/>
      <c r="F7" s="17"/>
      <c r="G7" s="18" t="str">
        <f aca="false">IF(COUNT(E7:F7)&lt;2,"",F7-E7)</f>
        <v/>
      </c>
      <c r="H7" s="17"/>
      <c r="I7" s="17"/>
      <c r="J7" s="19" t="str">
        <f aca="false">IF(COUNT(C7:D7,G7:I7)&lt;5,"",Parametri!$B$4*(G7+Parametri!$B$5)*(H7-I7)/(C7*(I7-D7)))</f>
        <v/>
      </c>
      <c r="K7" s="19" t="str">
        <f aca="false">IF(J7="","",J7*SQRT((Parametri!$B$8^2+Parametri!$B$6^2)/(G7+Parametri!$B$5)^2+Parametri!$B$9^2/(H7-I7)^2+Parametri!$B$7^2/C7^2+Parametri!$B$9^2*(1/(H7-I7)+1/(I7-D7))^2+Parametri!$B$9^2/(I7-D7)^2))</f>
        <v/>
      </c>
      <c r="L7" s="18" t="str">
        <f aca="false">IF(J7="","",100*K7/J7)</f>
        <v/>
      </c>
      <c r="M7" s="11"/>
    </row>
    <row r="8" customFormat="false" ht="15" hidden="false" customHeight="false" outlineLevel="0" collapsed="false">
      <c r="A8" s="11" t="s">
        <v>68</v>
      </c>
      <c r="B8" s="11" t="n">
        <v>3</v>
      </c>
      <c r="C8" s="17"/>
      <c r="D8" s="17"/>
      <c r="E8" s="17"/>
      <c r="F8" s="17"/>
      <c r="G8" s="18" t="str">
        <f aca="false">IF(COUNT(E8:F8)&lt;2,"",F8-E8)</f>
        <v/>
      </c>
      <c r="H8" s="17"/>
      <c r="I8" s="17"/>
      <c r="J8" s="19" t="str">
        <f aca="false">IF(COUNT(C8:D8,G8:I8)&lt;5,"",Parametri!$B$4*(G8+Parametri!$B$5)*(H8-I8)/(C8*(I8-D8)))</f>
        <v/>
      </c>
      <c r="K8" s="19" t="str">
        <f aca="false">IF(J8="","",J8*SQRT((Parametri!$B$8^2+Parametri!$B$6^2)/(G8+Parametri!$B$5)^2+Parametri!$B$9^2/(H8-I8)^2+Parametri!$B$7^2/C8^2+Parametri!$B$9^2*(1/(H8-I8)+1/(I8-D8))^2+Parametri!$B$9^2/(I8-D8)^2))</f>
        <v/>
      </c>
      <c r="L8" s="18" t="str">
        <f aca="false">IF(J8="","",100*K8/J8)</f>
        <v/>
      </c>
      <c r="M8" s="11"/>
    </row>
    <row r="9" customFormat="false" ht="15" hidden="false" customHeight="false" outlineLevel="0" collapsed="false">
      <c r="A9" s="11" t="s">
        <v>68</v>
      </c>
      <c r="B9" s="11" t="n">
        <v>4</v>
      </c>
      <c r="C9" s="17"/>
      <c r="D9" s="17"/>
      <c r="E9" s="17"/>
      <c r="F9" s="17"/>
      <c r="G9" s="18" t="str">
        <f aca="false">IF(COUNT(E9:F9)&lt;2,"",F9-E9)</f>
        <v/>
      </c>
      <c r="H9" s="17"/>
      <c r="I9" s="17"/>
      <c r="J9" s="19" t="str">
        <f aca="false">IF(COUNT(C9:D9,G9:I9)&lt;5,"",Parametri!$B$4*(G9+Parametri!$B$5)*(H9-I9)/(C9*(I9-D9)))</f>
        <v/>
      </c>
      <c r="K9" s="19" t="str">
        <f aca="false">IF(J9="","",J9*SQRT((Parametri!$B$8^2+Parametri!$B$6^2)/(G9+Parametri!$B$5)^2+Parametri!$B$9^2/(H9-I9)^2+Parametri!$B$7^2/C9^2+Parametri!$B$9^2*(1/(H9-I9)+1/(I9-D9))^2+Parametri!$B$9^2/(I9-D9)^2))</f>
        <v/>
      </c>
      <c r="L9" s="18" t="str">
        <f aca="false">IF(J9="","",100*K9/J9)</f>
        <v/>
      </c>
      <c r="M9" s="11"/>
    </row>
    <row r="10" customFormat="false" ht="15" hidden="false" customHeight="false" outlineLevel="0" collapsed="false">
      <c r="A10" s="11" t="s">
        <v>68</v>
      </c>
      <c r="B10" s="11" t="n">
        <v>5</v>
      </c>
      <c r="C10" s="17"/>
      <c r="D10" s="17"/>
      <c r="E10" s="17"/>
      <c r="F10" s="17"/>
      <c r="G10" s="18" t="str">
        <f aca="false">IF(COUNT(E10:F10)&lt;2,"",F10-E10)</f>
        <v/>
      </c>
      <c r="H10" s="17"/>
      <c r="I10" s="17"/>
      <c r="J10" s="19" t="str">
        <f aca="false">IF(COUNT(C10:D10,G10:I10)&lt;5,"",Parametri!$B$4*(G10+Parametri!$B$5)*(H10-I10)/(C10*(I10-D10)))</f>
        <v/>
      </c>
      <c r="K10" s="19" t="str">
        <f aca="false">IF(J10="","",J10*SQRT((Parametri!$B$8^2+Parametri!$B$6^2)/(G10+Parametri!$B$5)^2+Parametri!$B$9^2/(H10-I10)^2+Parametri!$B$7^2/C10^2+Parametri!$B$9^2*(1/(H10-I10)+1/(I10-D10))^2+Parametri!$B$9^2/(I10-D10)^2))</f>
        <v/>
      </c>
      <c r="L10" s="18" t="str">
        <f aca="false">IF(J10="","",100*K10/J10)</f>
        <v/>
      </c>
      <c r="M10" s="11"/>
    </row>
    <row r="11" customFormat="false" ht="15" hidden="false" customHeight="false" outlineLevel="0" collapsed="false">
      <c r="A11" s="11" t="s">
        <v>68</v>
      </c>
      <c r="B11" s="11" t="n">
        <v>6</v>
      </c>
      <c r="C11" s="17"/>
      <c r="D11" s="17"/>
      <c r="E11" s="17"/>
      <c r="F11" s="17"/>
      <c r="G11" s="18" t="str">
        <f aca="false">IF(COUNT(E11:F11)&lt;2,"",F11-E11)</f>
        <v/>
      </c>
      <c r="H11" s="17"/>
      <c r="I11" s="17"/>
      <c r="J11" s="19" t="str">
        <f aca="false">IF(COUNT(C11:D11,G11:I11)&lt;5,"",Parametri!$B$4*(G11+Parametri!$B$5)*(H11-I11)/(C11*(I11-D11)))</f>
        <v/>
      </c>
      <c r="K11" s="19" t="str">
        <f aca="false">IF(J11="","",J11*SQRT((Parametri!$B$8^2+Parametri!$B$6^2)/(G11+Parametri!$B$5)^2+Parametri!$B$9^2/(H11-I11)^2+Parametri!$B$7^2/C11^2+Parametri!$B$9^2*(1/(H11-I11)+1/(I11-D11))^2+Parametri!$B$9^2/(I11-D11)^2))</f>
        <v/>
      </c>
      <c r="L11" s="18" t="str">
        <f aca="false">IF(J11="","",100*K11/J11)</f>
        <v/>
      </c>
      <c r="M11" s="11"/>
    </row>
    <row r="12" customFormat="false" ht="15" hidden="false" customHeight="false" outlineLevel="0" collapsed="false">
      <c r="A12" s="11" t="s">
        <v>68</v>
      </c>
      <c r="B12" s="11" t="n">
        <v>7</v>
      </c>
      <c r="C12" s="17"/>
      <c r="D12" s="17"/>
      <c r="E12" s="17"/>
      <c r="F12" s="17"/>
      <c r="G12" s="18" t="str">
        <f aca="false">IF(COUNT(E12:F12)&lt;2,"",F12-E12)</f>
        <v/>
      </c>
      <c r="H12" s="17"/>
      <c r="I12" s="17"/>
      <c r="J12" s="19" t="str">
        <f aca="false">IF(COUNT(C12:D12,G12:I12)&lt;5,"",Parametri!$B$4*(G12+Parametri!$B$5)*(H12-I12)/(C12*(I12-D12)))</f>
        <v/>
      </c>
      <c r="K12" s="19" t="str">
        <f aca="false">IF(J12="","",J12*SQRT((Parametri!$B$8^2+Parametri!$B$6^2)/(G12+Parametri!$B$5)^2+Parametri!$B$9^2/(H12-I12)^2+Parametri!$B$7^2/C12^2+Parametri!$B$9^2*(1/(H12-I12)+1/(I12-D12))^2+Parametri!$B$9^2/(I12-D12)^2))</f>
        <v/>
      </c>
      <c r="L12" s="18" t="str">
        <f aca="false">IF(J12="","",100*K12/J12)</f>
        <v/>
      </c>
      <c r="M12" s="11"/>
    </row>
    <row r="13" customFormat="false" ht="15" hidden="false" customHeight="false" outlineLevel="0" collapsed="false">
      <c r="A13" s="11" t="s">
        <v>69</v>
      </c>
      <c r="B13" s="11" t="n">
        <v>1</v>
      </c>
      <c r="C13" s="17"/>
      <c r="D13" s="17"/>
      <c r="E13" s="17"/>
      <c r="F13" s="17"/>
      <c r="G13" s="18" t="str">
        <f aca="false">IF(COUNT(E13:F13)&lt;2,"",F13-E13)</f>
        <v/>
      </c>
      <c r="H13" s="17"/>
      <c r="I13" s="17"/>
      <c r="J13" s="19" t="str">
        <f aca="false">IF(COUNT(C13:D13,G13:I13)&lt;5,"",Parametri!$B$4*(G13+Parametri!$B$5)*(H13-I13)/(C13*(I13-D13)))</f>
        <v/>
      </c>
      <c r="K13" s="19" t="str">
        <f aca="false">IF(J13="","",J13*SQRT((Parametri!$B$8^2+Parametri!$B$6^2)/(G13+Parametri!$B$5)^2+Parametri!$B$9^2/(H13-I13)^2+Parametri!$B$7^2/C13^2+Parametri!$B$9^2*(1/(H13-I13)+1/(I13-D13))^2+Parametri!$B$9^2/(I13-D13)^2))</f>
        <v/>
      </c>
      <c r="L13" s="18" t="str">
        <f aca="false">IF(J13="","",100*K13/J13)</f>
        <v/>
      </c>
      <c r="M13" s="11"/>
    </row>
    <row r="14" customFormat="false" ht="15" hidden="false" customHeight="false" outlineLevel="0" collapsed="false">
      <c r="A14" s="11" t="s">
        <v>69</v>
      </c>
      <c r="B14" s="11" t="n">
        <v>2</v>
      </c>
      <c r="C14" s="17"/>
      <c r="D14" s="17"/>
      <c r="E14" s="17"/>
      <c r="F14" s="17"/>
      <c r="G14" s="18" t="str">
        <f aca="false">IF(COUNT(E14:F14)&lt;2,"",F14-E14)</f>
        <v/>
      </c>
      <c r="H14" s="17"/>
      <c r="I14" s="17"/>
      <c r="J14" s="19" t="str">
        <f aca="false">IF(COUNT(C14:D14,G14:I14)&lt;5,"",Parametri!$B$4*(G14+Parametri!$B$5)*(H14-I14)/(C14*(I14-D14)))</f>
        <v/>
      </c>
      <c r="K14" s="19" t="str">
        <f aca="false">IF(J14="","",J14*SQRT((Parametri!$B$8^2+Parametri!$B$6^2)/(G14+Parametri!$B$5)^2+Parametri!$B$9^2/(H14-I14)^2+Parametri!$B$7^2/C14^2+Parametri!$B$9^2*(1/(H14-I14)+1/(I14-D14))^2+Parametri!$B$9^2/(I14-D14)^2))</f>
        <v/>
      </c>
      <c r="L14" s="18" t="str">
        <f aca="false">IF(J14="","",100*K14/J14)</f>
        <v/>
      </c>
      <c r="M14" s="11"/>
    </row>
    <row r="15" customFormat="false" ht="15" hidden="false" customHeight="false" outlineLevel="0" collapsed="false">
      <c r="A15" s="11" t="s">
        <v>69</v>
      </c>
      <c r="B15" s="11" t="n">
        <v>3</v>
      </c>
      <c r="C15" s="17"/>
      <c r="D15" s="17"/>
      <c r="E15" s="17"/>
      <c r="F15" s="17"/>
      <c r="G15" s="18" t="str">
        <f aca="false">IF(COUNT(E15:F15)&lt;2,"",F15-E15)</f>
        <v/>
      </c>
      <c r="H15" s="17"/>
      <c r="I15" s="17"/>
      <c r="J15" s="19" t="str">
        <f aca="false">IF(COUNT(C15:D15,G15:I15)&lt;5,"",Parametri!$B$4*(G15+Parametri!$B$5)*(H15-I15)/(C15*(I15-D15)))</f>
        <v/>
      </c>
      <c r="K15" s="19" t="str">
        <f aca="false">IF(J15="","",J15*SQRT((Parametri!$B$8^2+Parametri!$B$6^2)/(G15+Parametri!$B$5)^2+Parametri!$B$9^2/(H15-I15)^2+Parametri!$B$7^2/C15^2+Parametri!$B$9^2*(1/(H15-I15)+1/(I15-D15))^2+Parametri!$B$9^2/(I15-D15)^2))</f>
        <v/>
      </c>
      <c r="L15" s="18" t="str">
        <f aca="false">IF(J15="","",100*K15/J15)</f>
        <v/>
      </c>
      <c r="M15" s="11"/>
    </row>
    <row r="16" customFormat="false" ht="15" hidden="false" customHeight="false" outlineLevel="0" collapsed="false">
      <c r="A16" s="11" t="s">
        <v>70</v>
      </c>
      <c r="B16" s="11" t="n">
        <v>1</v>
      </c>
      <c r="C16" s="17"/>
      <c r="D16" s="17"/>
      <c r="E16" s="17"/>
      <c r="F16" s="17"/>
      <c r="G16" s="18" t="str">
        <f aca="false">IF(COUNT(E16:F16)&lt;2,"",F16-E16)</f>
        <v/>
      </c>
      <c r="H16" s="17"/>
      <c r="I16" s="17"/>
      <c r="J16" s="19" t="str">
        <f aca="false">IF(COUNT(C16:D16,G16:I16)&lt;5,"",Parametri!$B$4*(G16+Parametri!$B$5)*(H16-I16)/(C16*(I16-D16)))</f>
        <v/>
      </c>
      <c r="K16" s="19" t="str">
        <f aca="false">IF(J16="","",J16*SQRT((Parametri!$B$8^2+Parametri!$B$6^2)/(G16+Parametri!$B$5)^2+Parametri!$B$9^2/(H16-I16)^2+Parametri!$B$7^2/C16^2+Parametri!$B$9^2*(1/(H16-I16)+1/(I16-D16))^2+Parametri!$B$9^2/(I16-D16)^2))</f>
        <v/>
      </c>
      <c r="L16" s="18" t="str">
        <f aca="false">IF(J16="","",100*K16/J16)</f>
        <v/>
      </c>
      <c r="M16" s="11"/>
    </row>
    <row r="17" customFormat="false" ht="15" hidden="false" customHeight="false" outlineLevel="0" collapsed="false">
      <c r="A17" s="11" t="s">
        <v>70</v>
      </c>
      <c r="B17" s="11" t="n">
        <v>2</v>
      </c>
      <c r="C17" s="17"/>
      <c r="D17" s="17"/>
      <c r="E17" s="17"/>
      <c r="F17" s="17"/>
      <c r="G17" s="18" t="str">
        <f aca="false">IF(COUNT(E17:F17)&lt;2,"",F17-E17)</f>
        <v/>
      </c>
      <c r="H17" s="17"/>
      <c r="I17" s="17"/>
      <c r="J17" s="19" t="str">
        <f aca="false">IF(COUNT(C17:D17,G17:I17)&lt;5,"",Parametri!$B$4*(G17+Parametri!$B$5)*(H17-I17)/(C17*(I17-D17)))</f>
        <v/>
      </c>
      <c r="K17" s="19" t="str">
        <f aca="false">IF(J17="","",J17*SQRT((Parametri!$B$8^2+Parametri!$B$6^2)/(G17+Parametri!$B$5)^2+Parametri!$B$9^2/(H17-I17)^2+Parametri!$B$7^2/C17^2+Parametri!$B$9^2*(1/(H17-I17)+1/(I17-D17))^2+Parametri!$B$9^2/(I17-D17)^2))</f>
        <v/>
      </c>
      <c r="L17" s="18" t="str">
        <f aca="false">IF(J17="","",100*K17/J17)</f>
        <v/>
      </c>
      <c r="M17" s="11"/>
    </row>
    <row r="18" customFormat="false" ht="15" hidden="false" customHeight="false" outlineLevel="0" collapsed="false">
      <c r="A18" s="11" t="s">
        <v>70</v>
      </c>
      <c r="B18" s="11" t="n">
        <v>3</v>
      </c>
      <c r="C18" s="17"/>
      <c r="D18" s="17"/>
      <c r="E18" s="17"/>
      <c r="F18" s="17"/>
      <c r="G18" s="18" t="str">
        <f aca="false">IF(COUNT(E18:F18)&lt;2,"",F18-E18)</f>
        <v/>
      </c>
      <c r="H18" s="17"/>
      <c r="I18" s="17"/>
      <c r="J18" s="19" t="str">
        <f aca="false">IF(COUNT(C18:D18,G18:I18)&lt;5,"",Parametri!$B$4*(G18+Parametri!$B$5)*(H18-I18)/(C18*(I18-D18)))</f>
        <v/>
      </c>
      <c r="K18" s="19" t="str">
        <f aca="false">IF(J18="","",J18*SQRT((Parametri!$B$8^2+Parametri!$B$6^2)/(G18+Parametri!$B$5)^2+Parametri!$B$9^2/(H18-I18)^2+Parametri!$B$7^2/C18^2+Parametri!$B$9^2*(1/(H18-I18)+1/(I18-D18))^2+Parametri!$B$9^2/(I18-D18)^2))</f>
        <v/>
      </c>
      <c r="L18" s="18" t="str">
        <f aca="false">IF(J18="","",100*K18/J18)</f>
        <v/>
      </c>
      <c r="M18" s="11"/>
    </row>
    <row r="19" customFormat="false" ht="15" hidden="false" customHeight="false" outlineLevel="0" collapsed="false">
      <c r="A19" s="11" t="s">
        <v>71</v>
      </c>
      <c r="B19" s="11" t="n">
        <v>1</v>
      </c>
      <c r="C19" s="17"/>
      <c r="D19" s="17"/>
      <c r="E19" s="17"/>
      <c r="F19" s="17"/>
      <c r="G19" s="18" t="str">
        <f aca="false">IF(COUNT(E19:F19)&lt;2,"",F19-E19)</f>
        <v/>
      </c>
      <c r="H19" s="17"/>
      <c r="I19" s="17"/>
      <c r="J19" s="19" t="str">
        <f aca="false">IF(COUNT(C19:D19,G19:I19)&lt;5,"",Parametri!$B$4*(G19+Parametri!$B$5)*(H19-I19)/(C19*(I19-D19)))</f>
        <v/>
      </c>
      <c r="K19" s="19" t="str">
        <f aca="false">IF(J19="","",J19*SQRT((Parametri!$B$8^2+Parametri!$B$6^2)/(G19+Parametri!$B$5)^2+Parametri!$B$9^2/(H19-I19)^2+Parametri!$B$7^2/C19^2+Parametri!$B$9^2*(1/(H19-I19)+1/(I19-D19))^2+Parametri!$B$9^2/(I19-D19)^2))</f>
        <v/>
      </c>
      <c r="L19" s="18" t="str">
        <f aca="false">IF(J19="","",100*K19/J19)</f>
        <v/>
      </c>
      <c r="M19" s="11"/>
    </row>
    <row r="20" customFormat="false" ht="15" hidden="false" customHeight="false" outlineLevel="0" collapsed="false">
      <c r="A20" s="11" t="s">
        <v>71</v>
      </c>
      <c r="B20" s="11" t="n">
        <v>2</v>
      </c>
      <c r="C20" s="17"/>
      <c r="D20" s="17"/>
      <c r="E20" s="17"/>
      <c r="F20" s="17"/>
      <c r="G20" s="18" t="str">
        <f aca="false">IF(COUNT(E20:F20)&lt;2,"",F20-E20)</f>
        <v/>
      </c>
      <c r="H20" s="17"/>
      <c r="I20" s="17"/>
      <c r="J20" s="19" t="str">
        <f aca="false">IF(COUNT(C20:D20,G20:I20)&lt;5,"",Parametri!$B$4*(G20+Parametri!$B$5)*(H20-I20)/(C20*(I20-D20)))</f>
        <v/>
      </c>
      <c r="K20" s="19" t="str">
        <f aca="false">IF(J20="","",J20*SQRT((Parametri!$B$8^2+Parametri!$B$6^2)/(G20+Parametri!$B$5)^2+Parametri!$B$9^2/(H20-I20)^2+Parametri!$B$7^2/C20^2+Parametri!$B$9^2*(1/(H20-I20)+1/(I20-D20))^2+Parametri!$B$9^2/(I20-D20)^2))</f>
        <v/>
      </c>
      <c r="L20" s="18" t="str">
        <f aca="false">IF(J20="","",100*K20/J20)</f>
        <v/>
      </c>
      <c r="M20" s="11"/>
    </row>
    <row r="21" customFormat="false" ht="15" hidden="false" customHeight="false" outlineLevel="0" collapsed="false">
      <c r="A21" s="11" t="s">
        <v>71</v>
      </c>
      <c r="B21" s="11" t="n">
        <v>3</v>
      </c>
      <c r="C21" s="17"/>
      <c r="D21" s="17"/>
      <c r="E21" s="17"/>
      <c r="F21" s="17"/>
      <c r="G21" s="18" t="str">
        <f aca="false">IF(COUNT(E21:F21)&lt;2,"",F21-E21)</f>
        <v/>
      </c>
      <c r="H21" s="17"/>
      <c r="I21" s="17"/>
      <c r="J21" s="19" t="str">
        <f aca="false">IF(COUNT(C21:D21,G21:I21)&lt;5,"",Parametri!$B$4*(G21+Parametri!$B$5)*(H21-I21)/(C21*(I21-D21)))</f>
        <v/>
      </c>
      <c r="K21" s="19" t="str">
        <f aca="false">IF(J21="","",J21*SQRT((Parametri!$B$8^2+Parametri!$B$6^2)/(G21+Parametri!$B$5)^2+Parametri!$B$9^2/(H21-I21)^2+Parametri!$B$7^2/C21^2+Parametri!$B$9^2*(1/(H21-I21)+1/(I21-D21))^2+Parametri!$B$9^2/(I21-D21)^2))</f>
        <v/>
      </c>
      <c r="L21" s="18" t="str">
        <f aca="false">IF(J21="","",100*K21/J21)</f>
        <v/>
      </c>
      <c r="M21" s="11"/>
    </row>
    <row r="23" customFormat="false" ht="15" hidden="false" customHeight="false" outlineLevel="0" collapsed="false">
      <c r="A23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48" hidden="false" customHeight="true" outlineLevel="0" collapsed="false">
      <c r="A4" s="9" t="s">
        <v>54</v>
      </c>
      <c r="B4" s="9" t="s">
        <v>75</v>
      </c>
      <c r="C4" s="9" t="s">
        <v>76</v>
      </c>
      <c r="D4" s="9" t="s">
        <v>77</v>
      </c>
      <c r="E4" s="9" t="s">
        <v>78</v>
      </c>
      <c r="F4" s="9" t="s">
        <v>79</v>
      </c>
      <c r="G4" s="9" t="s">
        <v>80</v>
      </c>
      <c r="H4" s="9" t="s">
        <v>81</v>
      </c>
      <c r="I4" s="9" t="s">
        <v>82</v>
      </c>
      <c r="J4" s="9" t="s">
        <v>83</v>
      </c>
    </row>
    <row r="5" customFormat="false" ht="15" hidden="false" customHeight="false" outlineLevel="0" collapsed="false">
      <c r="A5" s="12" t="s">
        <v>68</v>
      </c>
      <c r="B5" s="13" t="n">
        <f aca="false">COUNT('Calore specifico'!J6:J12)</f>
        <v>0</v>
      </c>
      <c r="C5" s="19" t="str">
        <f aca="false">IF(B5=0,"",AVERAGE('Calore specifico'!J6:J12))</f>
        <v/>
      </c>
      <c r="D5" s="19" t="str">
        <f aca="false">IF(B5&lt;2,"",STDEV('Calore specifico'!J6:J12))</f>
        <v/>
      </c>
      <c r="E5" s="19" t="str">
        <f aca="false">IF(B5&lt;2,"",D5/SQRT(B5))</f>
        <v/>
      </c>
      <c r="F5" s="19" t="str">
        <f aca="false">IF(B5=0,"",AVERAGE('Calore specifico'!K6:K12))</f>
        <v/>
      </c>
      <c r="G5" s="19" t="str">
        <f aca="false">IF(B5=0,"",C5*Parametri!$B$11)</f>
        <v/>
      </c>
      <c r="H5" s="20" t="n">
        <v>0.215</v>
      </c>
      <c r="I5" s="18" t="str">
        <f aca="false">IF(OR(C5="",H5=""),"",100*(C5-H5)/H5)</f>
        <v/>
      </c>
      <c r="J5" s="10" t="s">
        <v>84</v>
      </c>
    </row>
    <row r="6" customFormat="false" ht="15" hidden="false" customHeight="false" outlineLevel="0" collapsed="false">
      <c r="A6" s="12" t="s">
        <v>69</v>
      </c>
      <c r="B6" s="13" t="n">
        <f aca="false">COUNT('Calore specifico'!J13:J15)</f>
        <v>0</v>
      </c>
      <c r="C6" s="19" t="str">
        <f aca="false">IF(B6=0,"",AVERAGE('Calore specifico'!J13:J15))</f>
        <v/>
      </c>
      <c r="D6" s="19" t="str">
        <f aca="false">IF(B6&lt;2,"",STDEV('Calore specifico'!J13:J15))</f>
        <v/>
      </c>
      <c r="E6" s="19" t="str">
        <f aca="false">IF(B6&lt;2,"",D6/SQRT(B6))</f>
        <v/>
      </c>
      <c r="F6" s="19" t="str">
        <f aca="false">IF(B6=0,"",AVERAGE('Calore specifico'!K13:K15))</f>
        <v/>
      </c>
      <c r="G6" s="19" t="str">
        <f aca="false">IF(B6=0,"",C6*Parametri!$B$11)</f>
        <v/>
      </c>
      <c r="H6" s="20" t="n">
        <v>0.092</v>
      </c>
      <c r="I6" s="18" t="str">
        <f aca="false">IF(OR(C6="",H6=""),"",100*(C6-H6)/H6)</f>
        <v/>
      </c>
      <c r="J6" s="10" t="s">
        <v>85</v>
      </c>
    </row>
    <row r="7" customFormat="false" ht="15" hidden="false" customHeight="false" outlineLevel="0" collapsed="false">
      <c r="A7" s="12" t="s">
        <v>70</v>
      </c>
      <c r="B7" s="13" t="n">
        <f aca="false">COUNT('Calore specifico'!J16:J18)</f>
        <v>0</v>
      </c>
      <c r="C7" s="19" t="str">
        <f aca="false">IF(B7=0,"",AVERAGE('Calore specifico'!J16:J18))</f>
        <v/>
      </c>
      <c r="D7" s="19" t="str">
        <f aca="false">IF(B7&lt;2,"",STDEV('Calore specifico'!J16:J18))</f>
        <v/>
      </c>
      <c r="E7" s="19" t="str">
        <f aca="false">IF(B7&lt;2,"",D7/SQRT(B7))</f>
        <v/>
      </c>
      <c r="F7" s="19" t="str">
        <f aca="false">IF(B7=0,"",AVERAGE('Calore specifico'!K16:K18))</f>
        <v/>
      </c>
      <c r="G7" s="19" t="str">
        <f aca="false">IF(B7=0,"",C7*Parametri!$B$11)</f>
        <v/>
      </c>
      <c r="H7" s="20"/>
      <c r="I7" s="18" t="str">
        <f aca="false">IF(OR(C7="",H7=""),"",100*(C7-H7)/H7)</f>
        <v/>
      </c>
      <c r="J7" s="10" t="s">
        <v>86</v>
      </c>
    </row>
    <row r="8" customFormat="false" ht="23.85" hidden="false" customHeight="false" outlineLevel="0" collapsed="false">
      <c r="A8" s="12" t="s">
        <v>71</v>
      </c>
      <c r="B8" s="13" t="n">
        <f aca="false">COUNT('Calore specifico'!J19:J21)</f>
        <v>0</v>
      </c>
      <c r="C8" s="19" t="str">
        <f aca="false">IF(B8=0,"",AVERAGE('Calore specifico'!J19:J21))</f>
        <v/>
      </c>
      <c r="D8" s="19" t="str">
        <f aca="false">IF(B8&lt;2,"",STDEV('Calore specifico'!J19:J21))</f>
        <v/>
      </c>
      <c r="E8" s="19" t="str">
        <f aca="false">IF(B8&lt;2,"",D8/SQRT(B8))</f>
        <v/>
      </c>
      <c r="F8" s="19" t="str">
        <f aca="false">IF(B8=0,"",AVERAGE('Calore specifico'!K19:K21))</f>
        <v/>
      </c>
      <c r="G8" s="19" t="str">
        <f aca="false">IF(B8=0,"",C8*Parametri!$B$11)</f>
        <v/>
      </c>
      <c r="H8" s="20" t="n">
        <v>0.19</v>
      </c>
      <c r="I8" s="18" t="str">
        <f aca="false">IF(OR(C8="",H8=""),"",100*(C8-H8)/H8)</f>
        <v/>
      </c>
      <c r="J8" s="10" t="s">
        <v>87</v>
      </c>
    </row>
    <row r="10" customFormat="false" ht="15" hidden="false" customHeight="false" outlineLevel="0" collapsed="false">
      <c r="A10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28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48" hidden="false" customHeight="true" outlineLevel="0" collapsed="false">
      <c r="A4" s="9" t="s">
        <v>55</v>
      </c>
      <c r="B4" s="9" t="s">
        <v>58</v>
      </c>
      <c r="C4" s="9" t="s">
        <v>91</v>
      </c>
      <c r="D4" s="9" t="s">
        <v>92</v>
      </c>
      <c r="E4" s="9" t="s">
        <v>60</v>
      </c>
      <c r="F4" s="9" t="s">
        <v>93</v>
      </c>
      <c r="G4" s="9" t="s">
        <v>94</v>
      </c>
      <c r="H4" s="9" t="s">
        <v>62</v>
      </c>
      <c r="I4" s="9" t="s">
        <v>95</v>
      </c>
      <c r="J4" s="9" t="s">
        <v>96</v>
      </c>
      <c r="K4" s="9" t="s">
        <v>97</v>
      </c>
      <c r="L4" s="9" t="s">
        <v>98</v>
      </c>
      <c r="M4" s="9" t="s">
        <v>20</v>
      </c>
    </row>
    <row r="5" customFormat="false" ht="15" hidden="false" customHeight="false" outlineLevel="0" collapsed="false">
      <c r="A5" s="14" t="s">
        <v>99</v>
      </c>
      <c r="B5" s="15" t="n">
        <v>310.4</v>
      </c>
      <c r="C5" s="15" t="n">
        <v>510.8</v>
      </c>
      <c r="D5" s="15" t="n">
        <v>581.1</v>
      </c>
      <c r="E5" s="15" t="n">
        <f aca="false">IF(COUNT(B5:C5)&lt;2,"",C5-B5)</f>
        <v>200.4</v>
      </c>
      <c r="F5" s="15" t="n">
        <f aca="false">IF(COUNT(C5:D5)&lt;2,"",D5-C5)</f>
        <v>70.3</v>
      </c>
      <c r="G5" s="15" t="n">
        <v>55.2</v>
      </c>
      <c r="H5" s="15" t="n">
        <v>23</v>
      </c>
      <c r="I5" s="15" t="n">
        <f aca="false">IF(COUNT(E5:H5)&lt;4,"",Parametri!$B$4*((E5+Parametri!$B$5)*(G5-H5)/F5-(H5-Parametri!$B$10)))</f>
        <v>80.2415362731152</v>
      </c>
      <c r="J5" s="15" t="n">
        <f aca="false">IF(I5="","",Parametri!$B$4*SQRT(((G5-H5)/F5)^2*(Parametri!$B$8^2+Parametri!$B$6^2)+((E5+Parametri!$B$5)/F5)^2*Parametri!$B$9^2+(-(E5+Parametri!$B$5)/F5-1)^2*Parametri!$B$9^2+((E5+Parametri!$B$5)*(G5-H5)/F5^2)^2*Parametri!$B$8^2+Parametri!$B$9^2))</f>
        <v>2.36262669073334</v>
      </c>
      <c r="K5" s="15" t="n">
        <f aca="false">IF(I5="","",I5*Parametri!$B$11)</f>
        <v>335.89107083926</v>
      </c>
      <c r="L5" s="15" t="n">
        <f aca="false">IF(I5="","",100*J5/I5)</f>
        <v>2.94439364008654</v>
      </c>
      <c r="M5" s="14" t="s">
        <v>67</v>
      </c>
    </row>
    <row r="6" customFormat="false" ht="15" hidden="false" customHeight="false" outlineLevel="0" collapsed="false">
      <c r="A6" s="11" t="n">
        <v>1</v>
      </c>
      <c r="B6" s="17"/>
      <c r="C6" s="17"/>
      <c r="D6" s="17"/>
      <c r="E6" s="18" t="str">
        <f aca="false">IF(COUNT(B6:C6)&lt;2,"",C6-B6)</f>
        <v/>
      </c>
      <c r="F6" s="18" t="str">
        <f aca="false">IF(COUNT(C6:D6)&lt;2,"",D6-C6)</f>
        <v/>
      </c>
      <c r="G6" s="17"/>
      <c r="H6" s="17"/>
      <c r="I6" s="18" t="str">
        <f aca="false">IF(COUNT(E6:H6)&lt;4,"",Parametri!$B$4*((E6+Parametri!$B$5)*(G6-H6)/F6-(H6-Parametri!$B$10)))</f>
        <v/>
      </c>
      <c r="J6" s="18" t="str">
        <f aca="false">IF(I6="","",Parametri!$B$4*SQRT(((G6-H6)/F6)^2*(Parametri!$B$8^2+Parametri!$B$6^2)+((E6+Parametri!$B$5)/F6)^2*Parametri!$B$9^2+(-(E6+Parametri!$B$5)/F6-1)^2*Parametri!$B$9^2+((E6+Parametri!$B$5)*(G6-H6)/F6^2)^2*Parametri!$B$8^2+Parametri!$B$9^2))</f>
        <v/>
      </c>
      <c r="K6" s="18" t="str">
        <f aca="false">IF(I6="","",I6*Parametri!$B$11)</f>
        <v/>
      </c>
      <c r="L6" s="18" t="str">
        <f aca="false">IF(I6="","",100*J6/I6)</f>
        <v/>
      </c>
      <c r="M6" s="11"/>
    </row>
    <row r="7" customFormat="false" ht="15" hidden="false" customHeight="false" outlineLevel="0" collapsed="false">
      <c r="A7" s="11" t="n">
        <v>2</v>
      </c>
      <c r="B7" s="17"/>
      <c r="C7" s="17"/>
      <c r="D7" s="17"/>
      <c r="E7" s="18" t="str">
        <f aca="false">IF(COUNT(B7:C7)&lt;2,"",C7-B7)</f>
        <v/>
      </c>
      <c r="F7" s="18" t="str">
        <f aca="false">IF(COUNT(C7:D7)&lt;2,"",D7-C7)</f>
        <v/>
      </c>
      <c r="G7" s="17"/>
      <c r="H7" s="17"/>
      <c r="I7" s="18" t="str">
        <f aca="false">IF(COUNT(E7:H7)&lt;4,"",Parametri!$B$4*((E7+Parametri!$B$5)*(G7-H7)/F7-(H7-Parametri!$B$10)))</f>
        <v/>
      </c>
      <c r="J7" s="18" t="str">
        <f aca="false">IF(I7="","",Parametri!$B$4*SQRT(((G7-H7)/F7)^2*(Parametri!$B$8^2+Parametri!$B$6^2)+((E7+Parametri!$B$5)/F7)^2*Parametri!$B$9^2+(-(E7+Parametri!$B$5)/F7-1)^2*Parametri!$B$9^2+((E7+Parametri!$B$5)*(G7-H7)/F7^2)^2*Parametri!$B$8^2+Parametri!$B$9^2))</f>
        <v/>
      </c>
      <c r="K7" s="18" t="str">
        <f aca="false">IF(I7="","",I7*Parametri!$B$11)</f>
        <v/>
      </c>
      <c r="L7" s="18" t="str">
        <f aca="false">IF(I7="","",100*J7/I7)</f>
        <v/>
      </c>
      <c r="M7" s="11"/>
    </row>
    <row r="8" customFormat="false" ht="15" hidden="false" customHeight="false" outlineLevel="0" collapsed="false">
      <c r="A8" s="11" t="n">
        <v>3</v>
      </c>
      <c r="B8" s="17"/>
      <c r="C8" s="17"/>
      <c r="D8" s="17"/>
      <c r="E8" s="18" t="str">
        <f aca="false">IF(COUNT(B8:C8)&lt;2,"",C8-B8)</f>
        <v/>
      </c>
      <c r="F8" s="18" t="str">
        <f aca="false">IF(COUNT(C8:D8)&lt;2,"",D8-C8)</f>
        <v/>
      </c>
      <c r="G8" s="17"/>
      <c r="H8" s="17"/>
      <c r="I8" s="18" t="str">
        <f aca="false">IF(COUNT(E8:H8)&lt;4,"",Parametri!$B$4*((E8+Parametri!$B$5)*(G8-H8)/F8-(H8-Parametri!$B$10)))</f>
        <v/>
      </c>
      <c r="J8" s="18" t="str">
        <f aca="false">IF(I8="","",Parametri!$B$4*SQRT(((G8-H8)/F8)^2*(Parametri!$B$8^2+Parametri!$B$6^2)+((E8+Parametri!$B$5)/F8)^2*Parametri!$B$9^2+(-(E8+Parametri!$B$5)/F8-1)^2*Parametri!$B$9^2+((E8+Parametri!$B$5)*(G8-H8)/F8^2)^2*Parametri!$B$8^2+Parametri!$B$9^2))</f>
        <v/>
      </c>
      <c r="K8" s="18" t="str">
        <f aca="false">IF(I8="","",I8*Parametri!$B$11)</f>
        <v/>
      </c>
      <c r="L8" s="18" t="str">
        <f aca="false">IF(I8="","",100*J8/I8)</f>
        <v/>
      </c>
      <c r="M8" s="11"/>
    </row>
    <row r="9" customFormat="false" ht="15" hidden="false" customHeight="false" outlineLevel="0" collapsed="false">
      <c r="A9" s="11" t="n">
        <v>4</v>
      </c>
      <c r="B9" s="17"/>
      <c r="C9" s="17"/>
      <c r="D9" s="17"/>
      <c r="E9" s="18" t="str">
        <f aca="false">IF(COUNT(B9:C9)&lt;2,"",C9-B9)</f>
        <v/>
      </c>
      <c r="F9" s="18" t="str">
        <f aca="false">IF(COUNT(C9:D9)&lt;2,"",D9-C9)</f>
        <v/>
      </c>
      <c r="G9" s="17"/>
      <c r="H9" s="17"/>
      <c r="I9" s="18" t="str">
        <f aca="false">IF(COUNT(E9:H9)&lt;4,"",Parametri!$B$4*((E9+Parametri!$B$5)*(G9-H9)/F9-(H9-Parametri!$B$10)))</f>
        <v/>
      </c>
      <c r="J9" s="18" t="str">
        <f aca="false">IF(I9="","",Parametri!$B$4*SQRT(((G9-H9)/F9)^2*(Parametri!$B$8^2+Parametri!$B$6^2)+((E9+Parametri!$B$5)/F9)^2*Parametri!$B$9^2+(-(E9+Parametri!$B$5)/F9-1)^2*Parametri!$B$9^2+((E9+Parametri!$B$5)*(G9-H9)/F9^2)^2*Parametri!$B$8^2+Parametri!$B$9^2))</f>
        <v/>
      </c>
      <c r="K9" s="18" t="str">
        <f aca="false">IF(I9="","",I9*Parametri!$B$11)</f>
        <v/>
      </c>
      <c r="L9" s="18" t="str">
        <f aca="false">IF(I9="","",100*J9/I9)</f>
        <v/>
      </c>
      <c r="M9" s="11"/>
    </row>
    <row r="11" customFormat="false" ht="15" hidden="false" customHeight="false" outlineLevel="0" collapsed="false">
      <c r="A11" s="3" t="s">
        <v>100</v>
      </c>
      <c r="I11" s="18" t="str">
        <f aca="false">IF(COUNT(I6:I9)=0,"",AVERAGE(I6:I9))</f>
        <v/>
      </c>
      <c r="K11" s="18" t="str">
        <f aca="false">IF(I11="","",I11*Parametri!$B$11)</f>
        <v/>
      </c>
    </row>
    <row r="12" customFormat="false" ht="15" hidden="false" customHeight="false" outlineLevel="0" collapsed="false">
      <c r="A12" s="3" t="s">
        <v>101</v>
      </c>
      <c r="I12" s="18" t="str">
        <f aca="false">IF(COUNT(I6:I9)&lt;2,"",STDEV(I6:I9))</f>
        <v/>
      </c>
    </row>
    <row r="13" customFormat="false" ht="15" hidden="false" customHeight="false" outlineLevel="0" collapsed="false">
      <c r="A13" s="3" t="s">
        <v>102</v>
      </c>
      <c r="I13" s="18" t="str">
        <f aca="false">IF(COUNT(I6:I9)&lt;2,"",I12/SQRT(COUNT(I6:I9)))</f>
        <v/>
      </c>
    </row>
    <row r="14" customFormat="false" ht="15" hidden="false" customHeight="false" outlineLevel="0" collapsed="false">
      <c r="A14" s="3" t="s">
        <v>103</v>
      </c>
      <c r="I14" s="17" t="n">
        <v>79.7</v>
      </c>
      <c r="M14" s="2" t="s">
        <v>104</v>
      </c>
    </row>
    <row r="15" customFormat="false" ht="15" hidden="false" customHeight="false" outlineLevel="0" collapsed="false">
      <c r="A15" s="3" t="s">
        <v>82</v>
      </c>
      <c r="I15" s="18" t="str">
        <f aca="false">IF(I11="","",100*(I11-I14)/I14)</f>
        <v/>
      </c>
    </row>
    <row r="17" customFormat="false" ht="15" hidden="false" customHeight="false" outlineLevel="0" collapsed="false">
      <c r="A17" s="2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28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48" hidden="false" customHeight="true" outlineLevel="0" collapsed="false">
      <c r="A4" s="9" t="s">
        <v>55</v>
      </c>
      <c r="B4" s="9" t="s">
        <v>108</v>
      </c>
      <c r="C4" s="9" t="s">
        <v>109</v>
      </c>
      <c r="D4" s="9" t="s">
        <v>110</v>
      </c>
      <c r="E4" s="9" t="s">
        <v>111</v>
      </c>
      <c r="F4" s="9" t="s">
        <v>62</v>
      </c>
      <c r="G4" s="9" t="s">
        <v>112</v>
      </c>
      <c r="H4" s="9" t="s">
        <v>113</v>
      </c>
      <c r="I4" s="9" t="s">
        <v>20</v>
      </c>
    </row>
    <row r="5" customFormat="false" ht="15" hidden="false" customHeight="false" outlineLevel="0" collapsed="false">
      <c r="A5" s="14" t="s">
        <v>99</v>
      </c>
      <c r="B5" s="15" t="n">
        <v>100.2</v>
      </c>
      <c r="C5" s="15" t="n">
        <v>49.8</v>
      </c>
      <c r="D5" s="15" t="n">
        <v>99.9</v>
      </c>
      <c r="E5" s="15" t="n">
        <v>5.3</v>
      </c>
      <c r="F5" s="15" t="n">
        <v>30</v>
      </c>
      <c r="G5" s="15" t="n">
        <f aca="false">IF(COUNT(B5:F5)&lt;5,"",D5*(E5-F5)/(F5-C5)-B5)</f>
        <v>24.4227272727273</v>
      </c>
      <c r="H5" s="15" t="n">
        <f aca="false">IF(G5="","",SQRT((((E5-F5)/(F5-C5))^2+1)*Parametri!$B$8^2+(D5/(F5-C5))^2*Parametri!$B$9^2+(D5*(E5-F5)/(F5-C5)^2)^2*Parametri!$B$9^2+(D5*(E5-C5)/(F5-C5)^2)^2*Parametri!$B$9^2))</f>
        <v>1.40985596347392</v>
      </c>
      <c r="I5" s="14" t="s">
        <v>67</v>
      </c>
    </row>
    <row r="6" customFormat="false" ht="15" hidden="false" customHeight="false" outlineLevel="0" collapsed="false">
      <c r="A6" s="11" t="n">
        <v>1</v>
      </c>
      <c r="B6" s="17"/>
      <c r="C6" s="17"/>
      <c r="D6" s="17"/>
      <c r="E6" s="17"/>
      <c r="F6" s="17"/>
      <c r="G6" s="18" t="str">
        <f aca="false">IF(COUNT(B6:F6)&lt;5,"",D6*(E6-F6)/(F6-C6)-B6)</f>
        <v/>
      </c>
      <c r="H6" s="18" t="str">
        <f aca="false">IF(G6="","",SQRT((((E6-F6)/(F6-C6))^2+1)*Parametri!$B$8^2+(D6/(F6-C6))^2*Parametri!$B$9^2+(D6*(E6-F6)/(F6-C6)^2)^2*Parametri!$B$9^2+(D6*(E6-C6)/(F6-C6)^2)^2*Parametri!$B$9^2))</f>
        <v/>
      </c>
      <c r="I6" s="11"/>
    </row>
    <row r="7" customFormat="false" ht="15" hidden="false" customHeight="false" outlineLevel="0" collapsed="false">
      <c r="A7" s="11" t="n">
        <v>2</v>
      </c>
      <c r="B7" s="17"/>
      <c r="C7" s="17"/>
      <c r="D7" s="17"/>
      <c r="E7" s="17"/>
      <c r="F7" s="17"/>
      <c r="G7" s="18" t="str">
        <f aca="false">IF(COUNT(B7:F7)&lt;5,"",D7*(E7-F7)/(F7-C7)-B7)</f>
        <v/>
      </c>
      <c r="H7" s="18" t="str">
        <f aca="false">IF(G7="","",SQRT((((E7-F7)/(F7-C7))^2+1)*Parametri!$B$8^2+(D7/(F7-C7))^2*Parametri!$B$9^2+(D7*(E7-F7)/(F7-C7)^2)^2*Parametri!$B$9^2+(D7*(E7-C7)/(F7-C7)^2)^2*Parametri!$B$9^2))</f>
        <v/>
      </c>
      <c r="I7" s="11"/>
    </row>
    <row r="8" customFormat="false" ht="15" hidden="false" customHeight="false" outlineLevel="0" collapsed="false">
      <c r="A8" s="11" t="n">
        <v>3</v>
      </c>
      <c r="B8" s="17"/>
      <c r="C8" s="17"/>
      <c r="D8" s="17"/>
      <c r="E8" s="17"/>
      <c r="F8" s="17"/>
      <c r="G8" s="18" t="str">
        <f aca="false">IF(COUNT(B8:F8)&lt;5,"",D8*(E8-F8)/(F8-C8)-B8)</f>
        <v/>
      </c>
      <c r="H8" s="18" t="str">
        <f aca="false">IF(G8="","",SQRT((((E8-F8)/(F8-C8))^2+1)*Parametri!$B$8^2+(D8/(F8-C8))^2*Parametri!$B$9^2+(D8*(E8-F8)/(F8-C8)^2)^2*Parametri!$B$9^2+(D8*(E8-C8)/(F8-C8)^2)^2*Parametri!$B$9^2))</f>
        <v/>
      </c>
      <c r="I8" s="11"/>
    </row>
    <row r="10" customFormat="false" ht="15" hidden="false" customHeight="false" outlineLevel="0" collapsed="false">
      <c r="A10" s="3" t="s">
        <v>114</v>
      </c>
      <c r="G10" s="18" t="str">
        <f aca="false">IF(COUNT(G6:G8)=0,"",AVERAGE(G6:G8))</f>
        <v/>
      </c>
    </row>
    <row r="12" customFormat="false" ht="15" hidden="false" customHeight="false" outlineLevel="0" collapsed="false">
      <c r="A12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2026-10-17T09:05:34Z</dcterms:created>
  <dc:creator>openpyxl</dc:creator>
  <dc:description/>
  <dc:language>en-US</dc:language>
  <cp:lastModifiedBy/>
  <dcterms:modified xsi:type="dcterms:W3CDTF">2026-10-17T09:05:34Z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