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filippo/Desktop/UNI/termo/termo1/"/>
    </mc:Choice>
  </mc:AlternateContent>
  <xr:revisionPtr revIDLastSave="0" documentId="13_ncr:1_{9F740B88-AE47-084F-8780-78C738DCCE97}" xr6:coauthVersionLast="47" xr6:coauthVersionMax="47" xr10:uidLastSave="{00000000-0000-0000-0000-000000000000}"/>
  <bookViews>
    <workbookView xWindow="0" yWindow="0" windowWidth="28800" windowHeight="18000" tabRatio="500" activeTab="4" xr2:uid="{00000000-000D-0000-FFFF-FFFF00000000}"/>
  </bookViews>
  <sheets>
    <sheet name="Parametri" sheetId="2" r:id="rId1"/>
    <sheet name="Calore specifico" sheetId="3" r:id="rId2"/>
    <sheet name="Riepilogo c" sheetId="4" r:id="rId3"/>
    <sheet name="Calore latente" sheetId="5" r:id="rId4"/>
    <sheet name="Massa equivalente" sheetId="6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" i="6" l="1"/>
  <c r="H8" i="6" s="1"/>
  <c r="G7" i="6"/>
  <c r="H7" i="6" s="1"/>
  <c r="G6" i="6"/>
  <c r="G5" i="6"/>
  <c r="H5" i="6" s="1"/>
  <c r="J9" i="5"/>
  <c r="G9" i="5"/>
  <c r="H9" i="5" s="1"/>
  <c r="D9" i="5"/>
  <c r="J8" i="5"/>
  <c r="I8" i="5"/>
  <c r="G8" i="5"/>
  <c r="H8" i="5" s="1"/>
  <c r="D8" i="5"/>
  <c r="G7" i="5"/>
  <c r="D7" i="5"/>
  <c r="D6" i="5"/>
  <c r="G6" i="5" s="1"/>
  <c r="G5" i="5"/>
  <c r="D5" i="5"/>
  <c r="H21" i="3"/>
  <c r="J21" i="3" s="1"/>
  <c r="H20" i="3"/>
  <c r="H19" i="3"/>
  <c r="J18" i="3"/>
  <c r="I18" i="3"/>
  <c r="H18" i="3"/>
  <c r="H17" i="3"/>
  <c r="H16" i="3"/>
  <c r="J15" i="3"/>
  <c r="H15" i="3"/>
  <c r="I15" i="3" s="1"/>
  <c r="H14" i="3"/>
  <c r="I14" i="3" s="1"/>
  <c r="H13" i="3"/>
  <c r="H12" i="3"/>
  <c r="J12" i="3" s="1"/>
  <c r="H11" i="3"/>
  <c r="J11" i="3" s="1"/>
  <c r="H10" i="3"/>
  <c r="H9" i="3"/>
  <c r="H8" i="3"/>
  <c r="H7" i="3"/>
  <c r="I7" i="3" s="1"/>
  <c r="H6" i="3"/>
  <c r="I6" i="3" s="1"/>
  <c r="H5" i="3"/>
  <c r="G10" i="6" l="1"/>
  <c r="G12" i="5"/>
  <c r="G13" i="5" s="1"/>
  <c r="I17" i="3"/>
  <c r="J17" i="3" s="1"/>
  <c r="J14" i="3"/>
  <c r="B6" i="4"/>
  <c r="D6" i="4" s="1"/>
  <c r="I10" i="3"/>
  <c r="J10" i="3" s="1"/>
  <c r="I9" i="3"/>
  <c r="J9" i="3" s="1"/>
  <c r="J7" i="3"/>
  <c r="B7" i="4"/>
  <c r="J6" i="3"/>
  <c r="B8" i="4"/>
  <c r="I5" i="3"/>
  <c r="J5" i="3" s="1"/>
  <c r="I13" i="3"/>
  <c r="J13" i="3" s="1"/>
  <c r="I21" i="3"/>
  <c r="I12" i="3"/>
  <c r="I20" i="3"/>
  <c r="J20" i="3" s="1"/>
  <c r="H6" i="5"/>
  <c r="J6" i="5" s="1"/>
  <c r="I9" i="5"/>
  <c r="I6" i="5"/>
  <c r="G11" i="5"/>
  <c r="H6" i="6"/>
  <c r="H5" i="5"/>
  <c r="J5" i="5" s="1"/>
  <c r="I8" i="3"/>
  <c r="J8" i="3" s="1"/>
  <c r="I16" i="3"/>
  <c r="J16" i="3" s="1"/>
  <c r="I5" i="5"/>
  <c r="I11" i="3"/>
  <c r="I19" i="3"/>
  <c r="J19" i="3" s="1"/>
  <c r="B5" i="4"/>
  <c r="H7" i="5"/>
  <c r="J7" i="5" s="1"/>
  <c r="I7" i="5"/>
  <c r="D7" i="4" l="1"/>
  <c r="E7" i="4" s="1"/>
  <c r="C7" i="4"/>
  <c r="I7" i="4" s="1"/>
  <c r="F7" i="4"/>
  <c r="F6" i="4"/>
  <c r="E6" i="4"/>
  <c r="C6" i="4"/>
  <c r="I6" i="4" s="1"/>
  <c r="F8" i="4"/>
  <c r="D8" i="4"/>
  <c r="E8" i="4" s="1"/>
  <c r="C8" i="4"/>
  <c r="I8" i="4" s="1"/>
  <c r="G15" i="5"/>
  <c r="I11" i="5"/>
  <c r="C5" i="4"/>
  <c r="I5" i="4" s="1"/>
  <c r="F5" i="4"/>
  <c r="D5" i="4"/>
  <c r="E5" i="4" s="1"/>
  <c r="G7" i="4" l="1"/>
  <c r="G8" i="4"/>
  <c r="G6" i="4"/>
  <c r="G5" i="4"/>
</calcChain>
</file>

<file path=xl/sharedStrings.xml><?xml version="1.0" encoding="utf-8"?>
<sst xmlns="http://schemas.openxmlformats.org/spreadsheetml/2006/main" count="116" uniqueCount="87">
  <si>
    <t>Parametri</t>
  </si>
  <si>
    <t>Note</t>
  </si>
  <si>
    <t>Valori modificabili (celle gialle). Gli altri fogli li richiamano automaticamente</t>
  </si>
  <si>
    <t>Parametro</t>
  </si>
  <si>
    <t>Valore</t>
  </si>
  <si>
    <t>Unità</t>
  </si>
  <si>
    <t>Fonte / nota</t>
  </si>
  <si>
    <t>Calore specifico acqua c_a</t>
  </si>
  <si>
    <t>cal/(g·K)</t>
  </si>
  <si>
    <t>Dato della traccia (c_a = 1 cal/gK)</t>
  </si>
  <si>
    <t>Massa equivalente thermos M_e</t>
  </si>
  <si>
    <t>g</t>
  </si>
  <si>
    <t>Dato della traccia: (25 ± 5) g; sostituire con la misura se eseguita</t>
  </si>
  <si>
    <t>Incertezza su M_e</t>
  </si>
  <si>
    <t>Dato della traccia</t>
  </si>
  <si>
    <t>Incertezza singola lettura di massa σ_m</t>
  </si>
  <si>
    <t>Ipotesi: risoluzione bilancia da verificare sullo strumento</t>
  </si>
  <si>
    <t>Incertezza temperatura σ_T</t>
  </si>
  <si>
    <t>°C</t>
  </si>
  <si>
    <t>Ipotesi: risoluzione termometro da verificare</t>
  </si>
  <si>
    <t>Temperatura ghiaccio T_g</t>
  </si>
  <si>
    <t>Dato della traccia (ghiaccio alla temperatura di fusione)</t>
  </si>
  <si>
    <t>Fattore di conversione cal → J</t>
  </si>
  <si>
    <t>J/cal</t>
  </si>
  <si>
    <t>Valore standard (1 cal = 4,186 J)</t>
  </si>
  <si>
    <t>Misura del calore specifico (eq. 3)</t>
  </si>
  <si>
    <t>c1 = c_a (m_a + M_e)(T_a - T_f) / [m1 (T_f - T1)]   -   m_a letta direttamente con thermos tarato</t>
  </si>
  <si>
    <t>Materiale</t>
  </si>
  <si>
    <t>N° misura</t>
  </si>
  <si>
    <t>Massa blocchetto m1 (g)</t>
  </si>
  <si>
    <t>T1 blocchetto in acqua calda (°C)</t>
  </si>
  <si>
    <t>Massa acqua m_a, thermos tarato (g)</t>
  </si>
  <si>
    <t>T_a acqua ambiente (°C)</t>
  </si>
  <si>
    <t>T_f equilibrio (°C)</t>
  </si>
  <si>
    <t>c1 (cal/g·K)</t>
  </si>
  <si>
    <t>σ(c1) (cal/g·K)</t>
  </si>
  <si>
    <t>σ(c1)/c1 (%)</t>
  </si>
  <si>
    <t>ESEMPIO (Alluminio)</t>
  </si>
  <si>
    <t>valori inventati</t>
  </si>
  <si>
    <t>Alluminio</t>
  </si>
  <si>
    <t>Ottone</t>
  </si>
  <si>
    <t>Okite</t>
  </si>
  <si>
    <t>Granito</t>
  </si>
  <si>
    <t>Nota: tarare il thermos vuoto e versare circa 200 g di acqua: la lettura è m_a. Alluminio: almeno 5 misure (7 righe disponibili); altri materiali: almeno 2 misure (3 righe).</t>
  </si>
  <si>
    <t>Riepilogo calore specifico per materiale</t>
  </si>
  <si>
    <t>Media, dispersione e confronto con letteratura</t>
  </si>
  <si>
    <t>N misure</t>
  </si>
  <si>
    <t>Media c (cal/g·K)</t>
  </si>
  <si>
    <t>Dev. standard s (cal/g·K)</t>
  </si>
  <si>
    <t>Dev. standard della media s/√N</t>
  </si>
  <si>
    <t>σ propagata media (cal/g·K)</t>
  </si>
  <si>
    <t>Media c (J/g·K)</t>
  </si>
  <si>
    <t>c letteratura (cal/g·K)</t>
  </si>
  <si>
    <t>Scarto da letteratura (%)</t>
  </si>
  <si>
    <t>Nota</t>
  </si>
  <si>
    <t>Valore indicativo di letteratura (0,90 J/gK): verificare</t>
  </si>
  <si>
    <t>Valore indicativo di letteratura (0,385 J/gK): verificare</t>
  </si>
  <si>
    <t>Valore di riferimento non noto: inserire se disponibile</t>
  </si>
  <si>
    <t>Valore indicativo di letteratura (0,79 J/gK), varia con la composizione: verificare</t>
  </si>
  <si>
    <t>Confrontare s (dispersione delle misure ripetute) con σ propagata: se s ≫ σ ci sono errori sistematici o variazioni non controllate tra le misure.</t>
  </si>
  <si>
    <t>Misura del calore latente di fusione del ghiaccio (eq. 4)</t>
  </si>
  <si>
    <t>λ_g = c_a [ (m_a + M_e)(T_a - T_f) / m_g - (T_f - T_g) ]   -   thermos tarato: letture m_a e (m_a + m_g)</t>
  </si>
  <si>
    <t>Massa acqua calda m_a, thermos tarato (g)</t>
  </si>
  <si>
    <t>Lettura dopo ghiaccio sciolto, stessa tara: m_a + m_g (g)</t>
  </si>
  <si>
    <t>Massa ghiaccio m_g (g)</t>
  </si>
  <si>
    <t>T_a acqua calda (°C)</t>
  </si>
  <si>
    <t>λ_g (cal/g)</t>
  </si>
  <si>
    <t>σ(λ_g) (cal/g)</t>
  </si>
  <si>
    <t>λ_g (J/g)</t>
  </si>
  <si>
    <t>σ(λ_g)/λ_g (%)</t>
  </si>
  <si>
    <t>ESEMPIO</t>
  </si>
  <si>
    <t>Media</t>
  </si>
  <si>
    <t>Dev. standard s</t>
  </si>
  <si>
    <t>Dev. standard della media</t>
  </si>
  <si>
    <t>Letteratura (cal/g)</t>
  </si>
  <si>
    <t>Valore indicativo di letteratura (333,5 J/g): verificare</t>
  </si>
  <si>
    <t>Nota: tarare il thermos vuoto, versare l'acqua calda (lettura m_a), aggiungere il ghiaccio e rileggere dopo lo scioglimento con la stessa tara: m_g = lettura finale - m_a (ghiaccio + eventuale acqua aderente a 0 °C).</t>
  </si>
  <si>
    <t>Massa equivalente del thermos in acqua (opzionale)</t>
  </si>
  <si>
    <t>M_e = m2 (T2 - T_f)/(T_f - T1) - m1   -   m1 = acqua calda nel thermos in esame (T1), m2 = acqua fredda versata (T2); masse lette con thermos tarato</t>
  </si>
  <si>
    <t>m1 acqua calda (g)</t>
  </si>
  <si>
    <t>T1 (°C)</t>
  </si>
  <si>
    <t>m2 acqua fredda (g)</t>
  </si>
  <si>
    <t>T2 (°C)</t>
  </si>
  <si>
    <t>M_e (g)</t>
  </si>
  <si>
    <t>σ(M_e) (g)</t>
  </si>
  <si>
    <t>Media M_e</t>
  </si>
  <si>
    <t>Se si usa questo valore al posto di 25 g, aggiornarlo in 'Parametri'. m1 e m2 sono letture dirette con thermos tarato (incertezza σ_m).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</si>
</sst>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i/>
      <sz val="10"/>
      <color rgb="FF555555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7F7F7F"/>
      <name val="Arial"/>
      <family val="2"/>
    </font>
    <font>
      <b/>
      <sz val="10"/>
      <color rgb="FFFFFFF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9DB"/>
        <bgColor rgb="FFFFFFFF"/>
      </patternFill>
    </fill>
    <fill>
      <patternFill patternType="solid">
        <fgColor rgb="FFEAF1FB"/>
        <bgColor rgb="FFE7E6E6"/>
      </patternFill>
    </fill>
    <fill>
      <patternFill patternType="solid">
        <fgColor rgb="FFE7E6E6"/>
        <bgColor rgb="FFEAF1FB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7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164" fontId="6" fillId="4" borderId="1" xfId="0" applyNumberFormat="1" applyFont="1" applyFill="1" applyBorder="1" applyAlignment="1">
      <alignment horizontal="center" vertical="center" wrapText="1"/>
    </xf>
    <xf numFmtId="165" fontId="6" fillId="4" borderId="1" xfId="0" applyNumberFormat="1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65" fontId="4" fillId="3" borderId="1" xfId="0" applyNumberFormat="1" applyFont="1" applyFill="1" applyBorder="1" applyAlignment="1">
      <alignment horizontal="center" vertical="center" wrapText="1"/>
    </xf>
    <xf numFmtId="164" fontId="4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165" fontId="5" fillId="2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9DB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"/>
  <sheetViews>
    <sheetView zoomScaleNormal="100" workbookViewId="0">
      <selection activeCell="B9" sqref="B9"/>
    </sheetView>
  </sheetViews>
  <sheetFormatPr baseColWidth="10" defaultColWidth="8.6640625" defaultRowHeight="15" x14ac:dyDescent="0.2"/>
  <cols>
    <col min="1" max="1" width="40" customWidth="1"/>
    <col min="2" max="3" width="12" customWidth="1"/>
    <col min="4" max="4" width="70" customWidth="1"/>
  </cols>
  <sheetData>
    <row r="1" spans="1:4" ht="18" x14ac:dyDescent="0.2">
      <c r="A1" s="1" t="s">
        <v>0</v>
      </c>
    </row>
    <row r="2" spans="1:4" x14ac:dyDescent="0.2">
      <c r="A2" s="2" t="s">
        <v>2</v>
      </c>
    </row>
    <row r="3" spans="1:4" ht="48" customHeight="1" x14ac:dyDescent="0.2">
      <c r="A3" s="4" t="s">
        <v>3</v>
      </c>
      <c r="B3" s="4" t="s">
        <v>4</v>
      </c>
      <c r="C3" s="4" t="s">
        <v>5</v>
      </c>
      <c r="D3" s="4" t="s">
        <v>6</v>
      </c>
    </row>
    <row r="4" spans="1:4" x14ac:dyDescent="0.2">
      <c r="A4" s="5" t="s">
        <v>7</v>
      </c>
      <c r="B4" s="6">
        <v>1</v>
      </c>
      <c r="C4" s="7" t="s">
        <v>8</v>
      </c>
      <c r="D4" s="5" t="s">
        <v>9</v>
      </c>
    </row>
    <row r="5" spans="1:4" x14ac:dyDescent="0.2">
      <c r="A5" s="5" t="s">
        <v>10</v>
      </c>
      <c r="B5" s="6">
        <v>25</v>
      </c>
      <c r="C5" s="7" t="s">
        <v>11</v>
      </c>
      <c r="D5" s="5" t="s">
        <v>12</v>
      </c>
    </row>
    <row r="6" spans="1:4" x14ac:dyDescent="0.2">
      <c r="A6" s="5" t="s">
        <v>13</v>
      </c>
      <c r="B6" s="6">
        <v>5</v>
      </c>
      <c r="C6" s="7" t="s">
        <v>11</v>
      </c>
      <c r="D6" s="5" t="s">
        <v>14</v>
      </c>
    </row>
    <row r="7" spans="1:4" x14ac:dyDescent="0.2">
      <c r="A7" s="5" t="s">
        <v>15</v>
      </c>
      <c r="B7" s="6">
        <v>0.1</v>
      </c>
      <c r="C7" s="7" t="s">
        <v>11</v>
      </c>
      <c r="D7" s="5" t="s">
        <v>16</v>
      </c>
    </row>
    <row r="8" spans="1:4" x14ac:dyDescent="0.2">
      <c r="A8" s="5" t="s">
        <v>17</v>
      </c>
      <c r="B8" s="6">
        <v>0.2</v>
      </c>
      <c r="C8" s="7" t="s">
        <v>18</v>
      </c>
      <c r="D8" s="5" t="s">
        <v>19</v>
      </c>
    </row>
    <row r="9" spans="1:4" x14ac:dyDescent="0.2">
      <c r="A9" s="5" t="s">
        <v>20</v>
      </c>
      <c r="B9" s="6">
        <v>0</v>
      </c>
      <c r="C9" s="7" t="s">
        <v>18</v>
      </c>
      <c r="D9" s="5" t="s">
        <v>21</v>
      </c>
    </row>
    <row r="10" spans="1:4" x14ac:dyDescent="0.2">
      <c r="A10" s="5" t="s">
        <v>22</v>
      </c>
      <c r="B10" s="6">
        <v>4.1859999999999999</v>
      </c>
      <c r="C10" s="7" t="s">
        <v>23</v>
      </c>
      <c r="D10" s="5" t="s">
        <v>24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3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G18" sqref="G18"/>
    </sheetView>
  </sheetViews>
  <sheetFormatPr baseColWidth="10" defaultColWidth="8.6640625" defaultRowHeight="15" x14ac:dyDescent="0.2"/>
  <cols>
    <col min="1" max="1" width="22" customWidth="1"/>
    <col min="2" max="2" width="9" customWidth="1"/>
    <col min="3" max="3" width="13" customWidth="1"/>
    <col min="4" max="5" width="15" customWidth="1"/>
    <col min="6" max="6" width="14" customWidth="1"/>
    <col min="7" max="9" width="12" customWidth="1"/>
    <col min="10" max="10" width="11" customWidth="1"/>
    <col min="11" max="11" width="28" customWidth="1"/>
  </cols>
  <sheetData>
    <row r="1" spans="1:11" ht="18" x14ac:dyDescent="0.2">
      <c r="A1" s="1" t="s">
        <v>25</v>
      </c>
    </row>
    <row r="2" spans="1:11" x14ac:dyDescent="0.2">
      <c r="A2" s="2" t="s">
        <v>26</v>
      </c>
    </row>
    <row r="4" spans="1:11" ht="48" customHeight="1" x14ac:dyDescent="0.2">
      <c r="A4" s="4" t="s">
        <v>27</v>
      </c>
      <c r="B4" s="4" t="s">
        <v>28</v>
      </c>
      <c r="C4" s="4" t="s">
        <v>29</v>
      </c>
      <c r="D4" s="4" t="s">
        <v>30</v>
      </c>
      <c r="E4" s="4" t="s">
        <v>31</v>
      </c>
      <c r="F4" s="4" t="s">
        <v>32</v>
      </c>
      <c r="G4" s="4" t="s">
        <v>33</v>
      </c>
      <c r="H4" s="4" t="s">
        <v>34</v>
      </c>
      <c r="I4" s="4" t="s">
        <v>35</v>
      </c>
      <c r="J4" s="4" t="s">
        <v>36</v>
      </c>
      <c r="K4" s="4" t="s">
        <v>1</v>
      </c>
    </row>
    <row r="5" spans="1:11" x14ac:dyDescent="0.2">
      <c r="A5" s="8" t="s">
        <v>37</v>
      </c>
      <c r="B5" s="8">
        <v>1</v>
      </c>
      <c r="C5" s="9">
        <v>120.5</v>
      </c>
      <c r="D5" s="9">
        <v>64.2</v>
      </c>
      <c r="E5" s="9">
        <v>200.5</v>
      </c>
      <c r="F5" s="9">
        <v>24.8</v>
      </c>
      <c r="G5" s="9">
        <v>28.9</v>
      </c>
      <c r="H5" s="10">
        <f>IF(COUNT(C5:G5)&lt;5,"",Parametri!$B$4*(E5+Parametri!$B$5)*(F5-G5)/(C5*(G5-D5)))</f>
        <v>0.21735450730549044</v>
      </c>
      <c r="I5" s="10">
        <f>IF(H5="","",H5*SQRT((Parametri!$B$7^2+Parametri!$B$6^2)/(E5+Parametri!$B$5)^2+Parametri!$B$8^2/(F5-G5)^2+Parametri!$B$7^2/C5^2+Parametri!$B$8^2*(1/(F5-G5)+1/(G5-D5))^2+Parametri!$B$8^2/(G5-D5)^2))</f>
        <v>1.6650761507590813E-2</v>
      </c>
      <c r="J5" s="9">
        <f t="shared" ref="J5:J21" si="0">IF(H5="","",100*I5/H5)</f>
        <v>7.6606469835880917</v>
      </c>
      <c r="K5" s="8"/>
    </row>
    <row r="6" spans="1:11" x14ac:dyDescent="0.2">
      <c r="A6" s="6" t="s">
        <v>39</v>
      </c>
      <c r="B6" s="6">
        <v>1</v>
      </c>
      <c r="C6" s="11">
        <v>82.7</v>
      </c>
      <c r="D6" s="11">
        <v>64.8</v>
      </c>
      <c r="E6" s="11">
        <v>199.9</v>
      </c>
      <c r="F6" s="11">
        <v>25</v>
      </c>
      <c r="G6" s="11">
        <v>27.8</v>
      </c>
      <c r="H6" s="12">
        <f>IF(COUNT(C6:G6)&lt;5,"",Parametri!$B$4*(E6+Parametri!$B$5)*(F6-G6)/(C6*(G6-D6)))</f>
        <v>0.20579757508415311</v>
      </c>
      <c r="I6" s="12">
        <f>IF(H6="","",H6*SQRT((Parametri!$B$7^2+Parametri!$B$6^2)/(E6+Parametri!$B$5)^2+Parametri!$B$8^2/(F6-G6)^2+Parametri!$B$7^2/C6^2+Parametri!$B$8^2*(1/(F6-G6)+1/(G6-D6))^2+Parametri!$B$8^2/(G6-D6)^2))</f>
        <v>2.2098717132548379E-2</v>
      </c>
      <c r="J6" s="13">
        <f t="shared" si="0"/>
        <v>10.738084315868129</v>
      </c>
      <c r="K6" s="6"/>
    </row>
    <row r="7" spans="1:11" x14ac:dyDescent="0.2">
      <c r="A7" s="6" t="s">
        <v>39</v>
      </c>
      <c r="B7" s="6">
        <v>2</v>
      </c>
      <c r="C7" s="11">
        <v>82.8</v>
      </c>
      <c r="D7" s="11">
        <v>59.6</v>
      </c>
      <c r="E7" s="11">
        <v>207.6</v>
      </c>
      <c r="F7" s="11">
        <v>24</v>
      </c>
      <c r="G7" s="11">
        <v>26.5</v>
      </c>
      <c r="H7" s="12">
        <f>IF(COUNT(C7:G7)&lt;5,"",Parametri!$B$4*(E7+Parametri!$B$5)*(F7-G7)/(C7*(G7-D7)))</f>
        <v>0.21217362114511729</v>
      </c>
      <c r="I7" s="12">
        <f>IF(H7="","",H7*SQRT((Parametri!$B$7^2+Parametri!$B$6^2)/(E7+Parametri!$B$5)^2+Parametri!$B$8^2/(F7-G7)^2+Parametri!$B$7^2/C7^2+Parametri!$B$8^2*(1/(F7-G7)+1/(G7-D7))^2+Parametri!$B$8^2/(G7-D7)^2))</f>
        <v>2.5375391303704878E-2</v>
      </c>
      <c r="J7" s="13">
        <f t="shared" si="0"/>
        <v>11.959729568054666</v>
      </c>
      <c r="K7" s="6"/>
    </row>
    <row r="8" spans="1:11" x14ac:dyDescent="0.2">
      <c r="A8" s="6" t="s">
        <v>39</v>
      </c>
      <c r="B8" s="6">
        <v>3</v>
      </c>
      <c r="C8" s="11">
        <v>82.7</v>
      </c>
      <c r="D8" s="11">
        <v>63.8</v>
      </c>
      <c r="E8" s="11">
        <v>202.3</v>
      </c>
      <c r="F8" s="11">
        <v>28.8</v>
      </c>
      <c r="G8" s="11">
        <v>31.4</v>
      </c>
      <c r="H8" s="12">
        <f>IF(COUNT(C8:G8)&lt;5,"",Parametri!$B$4*(E8+Parametri!$B$5)*(F8-G8)/(C8*(G8-D8)))</f>
        <v>0.22055772015465672</v>
      </c>
      <c r="I8" s="12">
        <f>IF(H8="","",H8*SQRT((Parametri!$B$7^2+Parametri!$B$6^2)/(E8+Parametri!$B$5)^2+Parametri!$B$8^2/(F8-G8)^2+Parametri!$B$7^2/C8^2+Parametri!$B$8^2*(1/(F8-G8)+1/(G8-D8))^2+Parametri!$B$8^2/(G8-D8)^2))</f>
        <v>2.5479652803134557E-2</v>
      </c>
      <c r="J8" s="13">
        <f t="shared" si="0"/>
        <v>11.552374038536504</v>
      </c>
      <c r="K8" s="6"/>
    </row>
    <row r="9" spans="1:11" x14ac:dyDescent="0.2">
      <c r="A9" s="6" t="s">
        <v>39</v>
      </c>
      <c r="B9" s="6">
        <v>4</v>
      </c>
      <c r="C9" s="11">
        <v>82.7</v>
      </c>
      <c r="D9" s="11">
        <v>68.8</v>
      </c>
      <c r="E9" s="11">
        <v>198.9</v>
      </c>
      <c r="F9" s="11">
        <v>24.6</v>
      </c>
      <c r="G9" s="11">
        <v>28</v>
      </c>
      <c r="H9" s="12">
        <f>IF(COUNT(C9:G9)&lt;5,"",Parametri!$B$4*(E9+Parametri!$B$5)*(F9-G9)/(C9*(G9-D9)))</f>
        <v>0.22561467150342596</v>
      </c>
      <c r="I9" s="12">
        <f>IF(H9="","",H9*SQRT((Parametri!$B$7^2+Parametri!$B$6^2)/(E9+Parametri!$B$5)^2+Parametri!$B$8^2/(F9-G9)^2+Parametri!$B$7^2/C9^2+Parametri!$B$8^2*(1/(F9-G9)+1/(G9-D9))^2+Parametri!$B$8^2/(G9-D9)^2))</f>
        <v>2.0236929099977017E-2</v>
      </c>
      <c r="J9" s="13">
        <f t="shared" si="0"/>
        <v>8.9696866631608749</v>
      </c>
      <c r="K9" s="6"/>
    </row>
    <row r="10" spans="1:11" x14ac:dyDescent="0.2">
      <c r="A10" s="6" t="s">
        <v>39</v>
      </c>
      <c r="B10" s="6">
        <v>5</v>
      </c>
      <c r="C10" s="11">
        <v>82.8</v>
      </c>
      <c r="D10" s="11">
        <v>60.4</v>
      </c>
      <c r="E10" s="11">
        <v>199.6</v>
      </c>
      <c r="F10" s="11">
        <v>29.4</v>
      </c>
      <c r="G10" s="11">
        <v>31.6</v>
      </c>
      <c r="H10" s="12">
        <f>IF(COUNT(C10:G10)&lt;5,"",Parametri!$B$4*(E10+Parametri!$B$5)*(F10-G10)/(C10*(G10-D10)))</f>
        <v>0.20720947396672063</v>
      </c>
      <c r="I10" s="12">
        <f>IF(H10="","",H10*SQRT((Parametri!$B$7^2+Parametri!$B$6^2)/(E10+Parametri!$B$5)^2+Parametri!$B$8^2/(F10-G10)^2+Parametri!$B$7^2/C10^2+Parametri!$B$8^2*(1/(F10-G10)+1/(G10-D10))^2+Parametri!$B$8^2/(G10-D10)^2))</f>
        <v>2.809599021493241E-2</v>
      </c>
      <c r="J10" s="13">
        <f t="shared" si="0"/>
        <v>13.559220858523503</v>
      </c>
      <c r="K10" s="6"/>
    </row>
    <row r="11" spans="1:11" x14ac:dyDescent="0.2">
      <c r="A11" s="6" t="s">
        <v>39</v>
      </c>
      <c r="B11" s="6">
        <v>6</v>
      </c>
      <c r="C11" s="11"/>
      <c r="D11" s="11"/>
      <c r="E11" s="11"/>
      <c r="F11" s="11"/>
      <c r="G11" s="11"/>
      <c r="H11" s="12" t="str">
        <f>IF(COUNT(C11:G11)&lt;5,"",Parametri!$B$4*(E11+Parametri!$B$5)*(F11-G11)/(C11*(G11-D11)))</f>
        <v/>
      </c>
      <c r="I11" s="12" t="str">
        <f>IF(H11="","",H11*SQRT((Parametri!$B$7^2+Parametri!$B$6^2)/(E11+Parametri!$B$5)^2+Parametri!$B$8^2/(F11-G11)^2+Parametri!$B$7^2/C11^2+Parametri!$B$8^2*(1/(F11-G11)+1/(G11-D11))^2+Parametri!$B$8^2/(G11-D11)^2))</f>
        <v/>
      </c>
      <c r="J11" s="13" t="str">
        <f t="shared" si="0"/>
        <v/>
      </c>
      <c r="K11" s="6"/>
    </row>
    <row r="12" spans="1:11" x14ac:dyDescent="0.2">
      <c r="A12" s="6" t="s">
        <v>39</v>
      </c>
      <c r="B12" s="6">
        <v>7</v>
      </c>
      <c r="C12" s="11"/>
      <c r="D12" s="11"/>
      <c r="E12" s="11"/>
      <c r="F12" s="11"/>
      <c r="G12" s="11"/>
      <c r="H12" s="12" t="str">
        <f>IF(COUNT(C12:G12)&lt;5,"",Parametri!$B$4*(E12+Parametri!$B$5)*(F12-G12)/(C12*(G12-D12)))</f>
        <v/>
      </c>
      <c r="I12" s="12" t="str">
        <f>IF(H12="","",H12*SQRT((Parametri!$B$7^2+Parametri!$B$6^2)/(E12+Parametri!$B$5)^2+Parametri!$B$8^2/(F12-G12)^2+Parametri!$B$7^2/C12^2+Parametri!$B$8^2*(1/(F12-G12)+1/(G12-D12))^2+Parametri!$B$8^2/(G12-D12)^2))</f>
        <v/>
      </c>
      <c r="J12" s="13" t="str">
        <f t="shared" si="0"/>
        <v/>
      </c>
      <c r="K12" s="6"/>
    </row>
    <row r="13" spans="1:11" x14ac:dyDescent="0.2">
      <c r="A13" s="6" t="s">
        <v>40</v>
      </c>
      <c r="B13" s="6">
        <v>1</v>
      </c>
      <c r="C13" s="11">
        <v>195.2</v>
      </c>
      <c r="D13" s="11">
        <v>63</v>
      </c>
      <c r="E13" s="11">
        <v>197.8</v>
      </c>
      <c r="F13" s="11">
        <v>25</v>
      </c>
      <c r="G13" s="11">
        <v>28</v>
      </c>
      <c r="H13" s="12">
        <f>IF(COUNT(C13:G13)&lt;5,"",Parametri!$B$4*(E13+Parametri!$B$5)*(F13-G13)/(C13*(G13-D13)))</f>
        <v>9.7833723653395793E-2</v>
      </c>
      <c r="I13" s="12">
        <f>IF(H13="","",H13*SQRT((Parametri!$B$7^2+Parametri!$B$6^2)/(E13+Parametri!$B$5)^2+Parametri!$B$8^2/(F13-G13)^2+Parametri!$B$7^2/C13^2+Parametri!$B$8^2*(1/(F13-G13)+1/(G13-D13))^2+Parametri!$B$8^2/(G13-D13)^2))</f>
        <v>9.890496604128815E-3</v>
      </c>
      <c r="J13" s="13">
        <f t="shared" si="0"/>
        <v>10.109496229713953</v>
      </c>
      <c r="K13" s="6"/>
    </row>
    <row r="14" spans="1:11" x14ac:dyDescent="0.2">
      <c r="A14" s="6" t="s">
        <v>40</v>
      </c>
      <c r="B14" s="6">
        <v>2</v>
      </c>
      <c r="C14" s="11">
        <v>195.1</v>
      </c>
      <c r="D14" s="11">
        <v>60.8</v>
      </c>
      <c r="E14" s="11">
        <v>199.2</v>
      </c>
      <c r="F14" s="11">
        <v>25.8</v>
      </c>
      <c r="G14" s="11">
        <v>28.4</v>
      </c>
      <c r="H14" s="12">
        <f>IF(COUNT(C14:G14)&lt;5,"",Parametri!$B$4*(E14+Parametri!$B$5)*(F14-G14)/(C14*(G14-D14)))</f>
        <v>9.2216084186014055E-2</v>
      </c>
      <c r="I14" s="12">
        <f>IF(H14="","",H14*SQRT((Parametri!$B$7^2+Parametri!$B$6^2)/(E14+Parametri!$B$5)^2+Parametri!$B$8^2/(F14-G14)^2+Parametri!$B$7^2/C14^2+Parametri!$B$8^2*(1/(F14-G14)+1/(G14-D14))^2+Parametri!$B$8^2/(G14-D14)^2))</f>
        <v>1.0658046954672155E-2</v>
      </c>
      <c r="J14" s="13">
        <f t="shared" si="0"/>
        <v>11.557687629820881</v>
      </c>
      <c r="K14" s="6"/>
    </row>
    <row r="15" spans="1:11" x14ac:dyDescent="0.2">
      <c r="A15" s="6" t="s">
        <v>40</v>
      </c>
      <c r="B15" s="6">
        <v>3</v>
      </c>
      <c r="C15" s="11"/>
      <c r="D15" s="11"/>
      <c r="E15" s="11"/>
      <c r="F15" s="11"/>
      <c r="G15" s="11"/>
      <c r="H15" s="12" t="str">
        <f>IF(COUNT(C15:G15)&lt;5,"",Parametri!$B$4*(E15+Parametri!$B$5)*(F15-G15)/(C15*(G15-D15)))</f>
        <v/>
      </c>
      <c r="I15" s="12" t="str">
        <f>IF(H15="","",H15*SQRT((Parametri!$B$7^2+Parametri!$B$6^2)/(E15+Parametri!$B$5)^2+Parametri!$B$8^2/(F15-G15)^2+Parametri!$B$7^2/C15^2+Parametri!$B$8^2*(1/(F15-G15)+1/(G15-D15))^2+Parametri!$B$8^2/(G15-D15)^2))</f>
        <v/>
      </c>
      <c r="J15" s="13" t="str">
        <f t="shared" si="0"/>
        <v/>
      </c>
      <c r="K15" s="6"/>
    </row>
    <row r="16" spans="1:11" x14ac:dyDescent="0.2">
      <c r="A16" s="6" t="s">
        <v>41</v>
      </c>
      <c r="B16" s="6">
        <v>1</v>
      </c>
      <c r="C16" s="11">
        <v>56.8</v>
      </c>
      <c r="D16" s="11">
        <v>64.8</v>
      </c>
      <c r="E16" s="11">
        <v>206.5</v>
      </c>
      <c r="F16" s="11">
        <v>27</v>
      </c>
      <c r="G16" s="11">
        <v>28.8</v>
      </c>
      <c r="H16" s="12">
        <f>IF(COUNT(C16:G16)&lt;5,"",Parametri!$B$4*(E16+Parametri!$B$5)*(F16-G16)/(C16*(G16-D16)))</f>
        <v>0.20378521126760571</v>
      </c>
      <c r="I16" s="12">
        <f>IF(H16="","",H16*SQRT((Parametri!$B$7^2+Parametri!$B$6^2)/(E16+Parametri!$B$5)^2+Parametri!$B$8^2/(F16-G16)^2+Parametri!$B$7^2/C16^2+Parametri!$B$8^2*(1/(F16-G16)+1/(G16-D16))^2+Parametri!$B$8^2/(G16-D16)^2))</f>
        <v>3.3147170169624422E-2</v>
      </c>
      <c r="J16" s="13">
        <f t="shared" si="0"/>
        <v>16.265738795979839</v>
      </c>
      <c r="K16" s="6"/>
    </row>
    <row r="17" spans="1:11" x14ac:dyDescent="0.2">
      <c r="A17" s="6" t="s">
        <v>41</v>
      </c>
      <c r="B17" s="6">
        <v>2</v>
      </c>
      <c r="C17" s="11">
        <v>56.7</v>
      </c>
      <c r="D17" s="11">
        <v>63.8</v>
      </c>
      <c r="E17" s="11">
        <v>205.3</v>
      </c>
      <c r="F17" s="11">
        <v>27.2</v>
      </c>
      <c r="G17" s="11">
        <v>29</v>
      </c>
      <c r="H17" s="12">
        <f>IF(COUNT(C17:G17)&lt;5,"",Parametri!$B$4*(E17+Parametri!$B$5)*(F17-G17)/(C17*(G17-D17)))</f>
        <v>0.21008939974457227</v>
      </c>
      <c r="I17" s="12">
        <f>IF(H17="","",H17*SQRT((Parametri!$B$7^2+Parametri!$B$6^2)/(E17+Parametri!$B$5)^2+Parametri!$B$8^2/(F17-G17)^2+Parametri!$B$7^2/C17^2+Parametri!$B$8^2*(1/(F17-G17)+1/(G17-D17))^2+Parametri!$B$8^2/(G17-D17)^2))</f>
        <v>3.4206021987256648E-2</v>
      </c>
      <c r="J17" s="13">
        <f t="shared" si="0"/>
        <v>16.28165058724738</v>
      </c>
      <c r="K17" s="6"/>
    </row>
    <row r="18" spans="1:11" x14ac:dyDescent="0.2">
      <c r="A18" s="6" t="s">
        <v>41</v>
      </c>
      <c r="B18" s="6">
        <v>3</v>
      </c>
      <c r="C18" s="11"/>
      <c r="D18" s="11"/>
      <c r="E18" s="11"/>
      <c r="F18" s="11"/>
      <c r="G18" s="11"/>
      <c r="H18" s="12" t="str">
        <f>IF(COUNT(C18:G18)&lt;5,"",Parametri!$B$4*(E18+Parametri!$B$5)*(F18-G18)/(C18*(G18-D18)))</f>
        <v/>
      </c>
      <c r="I18" s="12" t="str">
        <f>IF(H18="","",H18*SQRT((Parametri!$B$7^2+Parametri!$B$6^2)/(E18+Parametri!$B$5)^2+Parametri!$B$8^2/(F18-G18)^2+Parametri!$B$7^2/C18^2+Parametri!$B$8^2*(1/(F18-G18)+1/(G18-D18))^2+Parametri!$B$8^2/(G18-D18)^2))</f>
        <v/>
      </c>
      <c r="J18" s="13" t="str">
        <f t="shared" si="0"/>
        <v/>
      </c>
      <c r="K18" s="6"/>
    </row>
    <row r="19" spans="1:11" x14ac:dyDescent="0.2">
      <c r="A19" s="6" t="s">
        <v>42</v>
      </c>
      <c r="B19" s="6">
        <v>1</v>
      </c>
      <c r="C19" s="11">
        <v>26.2</v>
      </c>
      <c r="D19" s="11">
        <v>61.4</v>
      </c>
      <c r="E19" s="11">
        <v>202.3</v>
      </c>
      <c r="F19" s="11">
        <v>23.6</v>
      </c>
      <c r="G19" s="11">
        <v>24.8</v>
      </c>
      <c r="H19" s="12">
        <f>IF(COUNT(C19:G19)&lt;5,"",Parametri!$B$4*(E19+Parametri!$B$5)*(F19-G19)/(C19*(G19-D19)))</f>
        <v>0.28444500062570383</v>
      </c>
      <c r="I19" s="12">
        <f>IF(H19="","",H19*SQRT((Parametri!$B$7^2+Parametri!$B$6^2)/(E19+Parametri!$B$5)^2+Parametri!$B$8^2/(F19-G19)^2+Parametri!$B$7^2/C19^2+Parametri!$B$8^2*(1/(F19-G19)+1/(G19-D19))^2+Parametri!$B$8^2/(G19-D19)^2))</f>
        <v>6.8465276824122054E-2</v>
      </c>
      <c r="J19" s="13">
        <f t="shared" si="0"/>
        <v>24.069776819250308</v>
      </c>
      <c r="K19" s="6"/>
    </row>
    <row r="20" spans="1:11" x14ac:dyDescent="0.2">
      <c r="A20" s="6" t="s">
        <v>42</v>
      </c>
      <c r="B20" s="6">
        <v>2</v>
      </c>
      <c r="C20" s="11">
        <v>26.1</v>
      </c>
      <c r="D20" s="11">
        <v>63.2</v>
      </c>
      <c r="E20" s="11">
        <v>201.6</v>
      </c>
      <c r="F20" s="11">
        <v>25</v>
      </c>
      <c r="G20" s="11">
        <v>26.2</v>
      </c>
      <c r="H20" s="12">
        <f>IF(COUNT(C20:G20)&lt;5,"",Parametri!$B$4*(E20+Parametri!$B$5)*(F20-G20)/(C20*(G20-D20)))</f>
        <v>0.28157812985399178</v>
      </c>
      <c r="I20" s="12">
        <f>IF(H20="","",H20*SQRT((Parametri!$B$7^2+Parametri!$B$6^2)/(E20+Parametri!$B$5)^2+Parametri!$B$8^2/(F20-G20)^2+Parametri!$B$7^2/C20^2+Parametri!$B$8^2*(1/(F20-G20)+1/(G20-D20))^2+Parametri!$B$8^2/(G20-D20)^2))</f>
        <v>6.7764774749409395E-2</v>
      </c>
      <c r="J20" s="13">
        <f t="shared" si="0"/>
        <v>24.06606464235977</v>
      </c>
      <c r="K20" s="6"/>
    </row>
    <row r="21" spans="1:11" x14ac:dyDescent="0.2">
      <c r="A21" s="6" t="s">
        <v>42</v>
      </c>
      <c r="B21" s="6">
        <v>3</v>
      </c>
      <c r="C21" s="11"/>
      <c r="D21" s="11"/>
      <c r="E21" s="11"/>
      <c r="F21" s="11"/>
      <c r="G21" s="11"/>
      <c r="H21" s="12" t="str">
        <f>IF(COUNT(C21:G21)&lt;5,"",Parametri!$B$4*(E21+Parametri!$B$5)*(F21-G21)/(C21*(G21-D21)))</f>
        <v/>
      </c>
      <c r="I21" s="12" t="str">
        <f>IF(H21="","",H21*SQRT((Parametri!$B$7^2+Parametri!$B$6^2)/(E21+Parametri!$B$5)^2+Parametri!$B$8^2/(F21-G21)^2+Parametri!$B$7^2/C21^2+Parametri!$B$8^2*(1/(F21-G21)+1/(G21-D21))^2+Parametri!$B$8^2/(G21-D21)^2))</f>
        <v/>
      </c>
      <c r="J21" s="13" t="str">
        <f t="shared" si="0"/>
        <v/>
      </c>
      <c r="K21" s="6"/>
    </row>
    <row r="23" spans="1:11" x14ac:dyDescent="0.2">
      <c r="A23" s="2" t="s">
        <v>43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"/>
  <sheetViews>
    <sheetView zoomScaleNormal="100" workbookViewId="0">
      <selection activeCell="H7" sqref="H7"/>
    </sheetView>
  </sheetViews>
  <sheetFormatPr baseColWidth="10" defaultColWidth="8.6640625" defaultRowHeight="15" x14ac:dyDescent="0.2"/>
  <cols>
    <col min="1" max="1" width="16" customWidth="1"/>
    <col min="2" max="2" width="10" customWidth="1"/>
    <col min="3" max="3" width="14" customWidth="1"/>
    <col min="4" max="4" width="15" customWidth="1"/>
    <col min="5" max="6" width="16" customWidth="1"/>
    <col min="7" max="7" width="13" customWidth="1"/>
    <col min="8" max="8" width="15" customWidth="1"/>
    <col min="9" max="9" width="14" customWidth="1"/>
    <col min="10" max="10" width="60" customWidth="1"/>
  </cols>
  <sheetData>
    <row r="1" spans="1:10" ht="18" x14ac:dyDescent="0.2">
      <c r="A1" s="1" t="s">
        <v>44</v>
      </c>
    </row>
    <row r="2" spans="1:10" x14ac:dyDescent="0.2">
      <c r="A2" s="2" t="s">
        <v>45</v>
      </c>
    </row>
    <row r="4" spans="1:10" ht="48" customHeight="1" x14ac:dyDescent="0.2">
      <c r="A4" s="4" t="s">
        <v>27</v>
      </c>
      <c r="B4" s="4" t="s">
        <v>46</v>
      </c>
      <c r="C4" s="4" t="s">
        <v>47</v>
      </c>
      <c r="D4" s="4" t="s">
        <v>48</v>
      </c>
      <c r="E4" s="4" t="s">
        <v>49</v>
      </c>
      <c r="F4" s="4" t="s">
        <v>50</v>
      </c>
      <c r="G4" s="4" t="s">
        <v>51</v>
      </c>
      <c r="H4" s="4" t="s">
        <v>52</v>
      </c>
      <c r="I4" s="4" t="s">
        <v>53</v>
      </c>
      <c r="J4" s="4" t="s">
        <v>54</v>
      </c>
    </row>
    <row r="5" spans="1:10" x14ac:dyDescent="0.2">
      <c r="A5" s="7" t="s">
        <v>39</v>
      </c>
      <c r="B5" s="14">
        <f>COUNT('Calore specifico'!H6:H12)</f>
        <v>5</v>
      </c>
      <c r="C5" s="12">
        <f>IF(B5=0,"",AVERAGE('Calore specifico'!H6:H12))</f>
        <v>0.21427061237081474</v>
      </c>
      <c r="D5" s="12">
        <f>IF(B5&lt;2,"",STDEV('Calore specifico'!H6:H12))</f>
        <v>8.5770742464054937E-3</v>
      </c>
      <c r="E5" s="12">
        <f>IF(B5&lt;2,"",D5/SQRT(B5))</f>
        <v>3.8357842126050929E-3</v>
      </c>
      <c r="F5" s="12">
        <f>IF(B5=0,"",AVERAGE('Calore specifico'!I6:I12))</f>
        <v>2.4257336110859447E-2</v>
      </c>
      <c r="G5" s="12">
        <f>IF(B5=0,"",C5*Parametri!$B$10)</f>
        <v>0.89693678338423044</v>
      </c>
      <c r="H5" s="15">
        <v>0.215</v>
      </c>
      <c r="I5" s="13">
        <f>IF(OR(C5="",H5=""),"",100*(C5-H5)/H5)</f>
        <v>-0.33925006008616626</v>
      </c>
      <c r="J5" s="5" t="s">
        <v>55</v>
      </c>
    </row>
    <row r="6" spans="1:10" x14ac:dyDescent="0.2">
      <c r="A6" s="7" t="s">
        <v>40</v>
      </c>
      <c r="B6" s="14">
        <f>COUNT('Calore specifico'!H13:H15)</f>
        <v>2</v>
      </c>
      <c r="C6" s="12">
        <f>IF(B6=0,"",AVERAGE('Calore specifico'!H13:H15))</f>
        <v>9.5024903919704917E-2</v>
      </c>
      <c r="D6" s="12">
        <f>IF(B6&lt;2,"",STDEV('Calore specifico'!H13:H15))</f>
        <v>3.9722709616468125E-3</v>
      </c>
      <c r="E6" s="12">
        <f>IF(B6&lt;2,"",D6/SQRT(B6))</f>
        <v>2.8088197336908691E-3</v>
      </c>
      <c r="F6" s="12">
        <f>IF(B6=0,"",AVERAGE('Calore specifico'!I13:I15))</f>
        <v>1.0274271779400485E-2</v>
      </c>
      <c r="G6" s="12">
        <f>IF(B6=0,"",C6*Parametri!$B$10)</f>
        <v>0.39777424780788478</v>
      </c>
      <c r="H6" s="15">
        <v>9.1999999999999998E-2</v>
      </c>
      <c r="I6" s="13">
        <f>IF(OR(C6="",H6=""),"",100*(C6-H6)/H6)</f>
        <v>3.2879390431575204</v>
      </c>
      <c r="J6" s="5" t="s">
        <v>56</v>
      </c>
    </row>
    <row r="7" spans="1:10" x14ac:dyDescent="0.2">
      <c r="A7" s="7" t="s">
        <v>41</v>
      </c>
      <c r="B7" s="14">
        <f>COUNT('Calore specifico'!H16:H18)</f>
        <v>2</v>
      </c>
      <c r="C7" s="12">
        <f>IF(B7=0,"",AVERAGE('Calore specifico'!H16:H18))</f>
        <v>0.20693730550608899</v>
      </c>
      <c r="D7" s="12">
        <f>IF(B7&lt;2,"",STDEV('Calore specifico'!H16:H18))</f>
        <v>4.4577344219411518E-3</v>
      </c>
      <c r="E7" s="12">
        <f>IF(B7&lt;2,"",D7/SQRT(B7))</f>
        <v>3.1520942384832829E-3</v>
      </c>
      <c r="F7" s="12">
        <f>IF(B7=0,"",AVERAGE('Calore specifico'!I16:I18))</f>
        <v>3.3676596078440535E-2</v>
      </c>
      <c r="G7" s="12">
        <f>IF(B7=0,"",C7*Parametri!$B$10)</f>
        <v>0.86623956084848852</v>
      </c>
      <c r="H7" s="15"/>
      <c r="I7" s="13" t="str">
        <f>IF(OR(C7="",H7=""),"",100*(C7-H7)/H7)</f>
        <v/>
      </c>
      <c r="J7" s="5" t="s">
        <v>57</v>
      </c>
    </row>
    <row r="8" spans="1:10" ht="28" x14ac:dyDescent="0.2">
      <c r="A8" s="7" t="s">
        <v>42</v>
      </c>
      <c r="B8" s="14">
        <f>COUNT('Calore specifico'!H19:H21)</f>
        <v>2</v>
      </c>
      <c r="C8" s="12">
        <f>IF(B8=0,"",AVERAGE('Calore specifico'!H19:H21))</f>
        <v>0.28301156523984783</v>
      </c>
      <c r="D8" s="12">
        <f>IF(B8&lt;2,"",STDEV('Calore specifico'!H19:H21))</f>
        <v>2.0271837634631006E-3</v>
      </c>
      <c r="E8" s="12">
        <f>IF(B8&lt;2,"",D8/SQRT(B8))</f>
        <v>1.4334353858560245E-3</v>
      </c>
      <c r="F8" s="12">
        <f>IF(B8=0,"",AVERAGE('Calore specifico'!I19:I21))</f>
        <v>6.8115025786765732E-2</v>
      </c>
      <c r="G8" s="12">
        <f>IF(B8=0,"",C8*Parametri!$B$10)</f>
        <v>1.184686412094003</v>
      </c>
      <c r="H8" s="15">
        <v>0.19</v>
      </c>
      <c r="I8" s="13">
        <f>IF(OR(C8="",H8=""),"",100*(C8-H8)/H8)</f>
        <v>48.953455389393596</v>
      </c>
      <c r="J8" s="5" t="s">
        <v>58</v>
      </c>
    </row>
    <row r="10" spans="1:10" x14ac:dyDescent="0.2">
      <c r="A10" s="2" t="s">
        <v>59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7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G8" sqref="G8"/>
    </sheetView>
  </sheetViews>
  <sheetFormatPr baseColWidth="10" defaultColWidth="8.6640625" defaultRowHeight="15" x14ac:dyDescent="0.2"/>
  <cols>
    <col min="1" max="1" width="26" customWidth="1"/>
    <col min="2" max="2" width="16" customWidth="1"/>
    <col min="3" max="3" width="20" customWidth="1"/>
    <col min="4" max="4" width="12" customWidth="1"/>
    <col min="5" max="5" width="13" customWidth="1"/>
    <col min="6" max="6" width="12" customWidth="1"/>
    <col min="7" max="7" width="11" customWidth="1"/>
    <col min="8" max="8" width="12" customWidth="1"/>
    <col min="9" max="10" width="11" customWidth="1"/>
    <col min="11" max="11" width="28" customWidth="1"/>
  </cols>
  <sheetData>
    <row r="1" spans="1:11" ht="18" x14ac:dyDescent="0.2">
      <c r="A1" s="1" t="s">
        <v>60</v>
      </c>
    </row>
    <row r="2" spans="1:11" x14ac:dyDescent="0.2">
      <c r="A2" s="2" t="s">
        <v>61</v>
      </c>
    </row>
    <row r="4" spans="1:11" ht="48" customHeight="1" x14ac:dyDescent="0.2">
      <c r="A4" s="4" t="s">
        <v>28</v>
      </c>
      <c r="B4" s="4" t="s">
        <v>62</v>
      </c>
      <c r="C4" s="4" t="s">
        <v>63</v>
      </c>
      <c r="D4" s="4" t="s">
        <v>64</v>
      </c>
      <c r="E4" s="4" t="s">
        <v>65</v>
      </c>
      <c r="F4" s="4" t="s">
        <v>33</v>
      </c>
      <c r="G4" s="4" t="s">
        <v>66</v>
      </c>
      <c r="H4" s="4" t="s">
        <v>67</v>
      </c>
      <c r="I4" s="4" t="s">
        <v>68</v>
      </c>
      <c r="J4" s="4" t="s">
        <v>69</v>
      </c>
      <c r="K4" s="4" t="s">
        <v>1</v>
      </c>
    </row>
    <row r="5" spans="1:11" x14ac:dyDescent="0.2">
      <c r="A5" s="8" t="s">
        <v>70</v>
      </c>
      <c r="B5" s="9">
        <v>200.4</v>
      </c>
      <c r="C5" s="9">
        <v>270.7</v>
      </c>
      <c r="D5" s="9">
        <f>IF(COUNT(B5:C5)&lt;2,"",C5-B5)</f>
        <v>70.299999999999983</v>
      </c>
      <c r="E5" s="9">
        <v>55.2</v>
      </c>
      <c r="F5" s="9">
        <v>23</v>
      </c>
      <c r="G5" s="9">
        <f>IF(COUNT(B5:C5,E5:F5)&lt;4,"",Parametri!$B$4*((B5+Parametri!$B$5)*(E5-F5)/D5-(F5-Parametri!$B$9)))</f>
        <v>80.241536273115258</v>
      </c>
      <c r="H5" s="9">
        <f>IF(G5="","",Parametri!$B$4*SQRT((((E5-F5)/D5+(B5+Parametri!$B$5)*(E5-F5)/D5^2)^2+((B5+Parametri!$B$5)*(E5-F5)/D5^2)^2)*Parametri!$B$7^2+((E5-F5)/D5)^2*Parametri!$B$6^2+((B5+Parametri!$B$5)/D5)^2*Parametri!$B$8^2+(-(B5+Parametri!$B$5)/D5-1)^2*Parametri!$B$8^2+Parametri!$B$8^2))</f>
        <v>2.5421529310927378</v>
      </c>
      <c r="I5" s="9">
        <f>IF(G5="","",G5*Parametri!$B$10)</f>
        <v>335.89107083926046</v>
      </c>
      <c r="J5" s="9">
        <f>IF(G5="","",100*H5/G5)</f>
        <v>3.1681259471903709</v>
      </c>
      <c r="K5" s="8" t="s">
        <v>38</v>
      </c>
    </row>
    <row r="6" spans="1:11" x14ac:dyDescent="0.2">
      <c r="A6" s="6">
        <v>1</v>
      </c>
      <c r="B6" s="11">
        <v>195.3</v>
      </c>
      <c r="C6" s="11">
        <v>264.7</v>
      </c>
      <c r="D6" s="13">
        <f>IF(COUNT(B6:C6)&lt;2,"",C6-B6)</f>
        <v>69.399999999999977</v>
      </c>
      <c r="E6" s="11">
        <v>55.6</v>
      </c>
      <c r="F6" s="11">
        <v>21</v>
      </c>
      <c r="G6" s="13">
        <f>IF(COUNT(B6:C6,E6:F6)&lt;4,"",Parametri!$B$4*((B6+Parametri!$B$5)*(E6-F6)/D6-(F6-Parametri!$B$9)))</f>
        <v>88.832564841498609</v>
      </c>
      <c r="H6" s="13">
        <f>IF(G6="","",Parametri!$B$4*SQRT((((E6-F6)/D6+(B6+Parametri!$B$5)*(E6-F6)/D6^2)^2+((B6+Parametri!$B$5)*(E6-F6)/D6^2)^2)*Parametri!$B$7^2+((E6-F6)/D6)^2*Parametri!$B$6^2+((B6+Parametri!$B$5)/D6)^2*Parametri!$B$8^2+(-(B6+Parametri!$B$5)/D6-1)^2*Parametri!$B$8^2+Parametri!$B$8^2))</f>
        <v>2.7244185081906482</v>
      </c>
      <c r="I6" s="13">
        <f>IF(G6="","",G6*Parametri!$B$10)</f>
        <v>371.85311642651317</v>
      </c>
      <c r="J6" s="13">
        <f>IF(G6="","",100*H6/G6)</f>
        <v>3.0669141581713304</v>
      </c>
      <c r="K6" s="6"/>
    </row>
    <row r="7" spans="1:11" x14ac:dyDescent="0.2">
      <c r="A7" s="6">
        <v>2</v>
      </c>
      <c r="B7" s="11">
        <v>197.2</v>
      </c>
      <c r="C7" s="11">
        <v>270.2</v>
      </c>
      <c r="D7" s="13">
        <f>IF(COUNT(B7:C7)&lt;2,"",C7-B7)</f>
        <v>73</v>
      </c>
      <c r="E7" s="11">
        <v>55.4</v>
      </c>
      <c r="F7" s="11">
        <v>21.2</v>
      </c>
      <c r="G7" s="13">
        <f>IF(COUNT(B7:C7,E7:F7)&lt;4,"",Parametri!$B$4*((B7+Parametri!$B$5)*(E7-F7)/D7-(F7-Parametri!$B$9)))</f>
        <v>82.899178082191781</v>
      </c>
      <c r="H7" s="13">
        <f>IF(G7="","",Parametri!$B$4*SQRT((((E7-F7)/D7+(B7+Parametri!$B$5)*(E7-F7)/D7^2)^2+((B7+Parametri!$B$5)*(E7-F7)/D7^2)^2)*Parametri!$B$7^2+((E7-F7)/D7)^2*Parametri!$B$6^2+((B7+Parametri!$B$5)/D7)^2*Parametri!$B$8^2+(-(B7+Parametri!$B$5)/D7-1)^2*Parametri!$B$8^2+Parametri!$B$8^2))</f>
        <v>2.5706175037895589</v>
      </c>
      <c r="I7" s="13">
        <f>IF(G7="","",G7*Parametri!$B$10)</f>
        <v>347.0159594520548</v>
      </c>
      <c r="J7" s="13">
        <f>IF(G7="","",100*H7/G7)</f>
        <v>3.1008962492256278</v>
      </c>
      <c r="K7" s="6"/>
    </row>
    <row r="8" spans="1:11" x14ac:dyDescent="0.2">
      <c r="A8" s="6">
        <v>3</v>
      </c>
      <c r="B8" s="11"/>
      <c r="C8" s="11"/>
      <c r="D8" s="13" t="str">
        <f>IF(COUNT(B8:C8)&lt;2,"",C8-B8)</f>
        <v/>
      </c>
      <c r="E8" s="11"/>
      <c r="F8" s="11"/>
      <c r="G8" s="13" t="str">
        <f>IF(COUNT(B8:C8,E8:F8)&lt;4,"",Parametri!$B$4*((B8+Parametri!$B$5)*(E8-F8)/D8-(F8-Parametri!$B$9)))</f>
        <v/>
      </c>
      <c r="H8" s="13" t="str">
        <f>IF(G8="","",Parametri!$B$4*SQRT((((E8-F8)/D8+(B8+Parametri!$B$5)*(E8-F8)/D8^2)^2+((B8+Parametri!$B$5)*(E8-F8)/D8^2)^2)*Parametri!$B$7^2+((E8-F8)/D8)^2*Parametri!$B$6^2+((B8+Parametri!$B$5)/D8)^2*Parametri!$B$8^2+(-(B8+Parametri!$B$5)/D8-1)^2*Parametri!$B$8^2+Parametri!$B$8^2))</f>
        <v/>
      </c>
      <c r="I8" s="13" t="str">
        <f>IF(G8="","",G8*Parametri!$B$10)</f>
        <v/>
      </c>
      <c r="J8" s="13" t="str">
        <f>IF(G8="","",100*H8/G8)</f>
        <v/>
      </c>
      <c r="K8" s="6"/>
    </row>
    <row r="9" spans="1:11" x14ac:dyDescent="0.2">
      <c r="A9" s="6">
        <v>4</v>
      </c>
      <c r="B9" s="11"/>
      <c r="C9" s="11"/>
      <c r="D9" s="13" t="str">
        <f>IF(COUNT(B9:C9)&lt;2,"",C9-B9)</f>
        <v/>
      </c>
      <c r="E9" s="11"/>
      <c r="F9" s="11"/>
      <c r="G9" s="13" t="str">
        <f>IF(COUNT(B9:C9,E9:F9)&lt;4,"",Parametri!$B$4*((B9+Parametri!$B$5)*(E9-F9)/D9-(F9-Parametri!$B$9)))</f>
        <v/>
      </c>
      <c r="H9" s="13" t="str">
        <f>IF(G9="","",Parametri!$B$4*SQRT((((E9-F9)/D9+(B9+Parametri!$B$5)*(E9-F9)/D9^2)^2+((B9+Parametri!$B$5)*(E9-F9)/D9^2)^2)*Parametri!$B$7^2+((E9-F9)/D9)^2*Parametri!$B$6^2+((B9+Parametri!$B$5)/D9)^2*Parametri!$B$8^2+(-(B9+Parametri!$B$5)/D9-1)^2*Parametri!$B$8^2+Parametri!$B$8^2))</f>
        <v/>
      </c>
      <c r="I9" s="13" t="str">
        <f>IF(G9="","",G9*Parametri!$B$10)</f>
        <v/>
      </c>
      <c r="J9" s="13" t="str">
        <f>IF(G9="","",100*H9/G9)</f>
        <v/>
      </c>
      <c r="K9" s="6"/>
    </row>
    <row r="11" spans="1:11" x14ac:dyDescent="0.2">
      <c r="A11" s="3" t="s">
        <v>71</v>
      </c>
      <c r="G11" s="13">
        <f>IF(COUNT(G6:G9)=0,"",AVERAGE(G6:G9))</f>
        <v>85.865871461845188</v>
      </c>
      <c r="I11" s="13">
        <f>IF(G11="","",G11*Parametri!$B$10)</f>
        <v>359.43453793928393</v>
      </c>
    </row>
    <row r="12" spans="1:11" x14ac:dyDescent="0.2">
      <c r="A12" s="3" t="s">
        <v>72</v>
      </c>
      <c r="G12" s="13">
        <f>IF(COUNT(G6:G9)&lt;2,"",STDEV(G6:G9))</f>
        <v>4.1955380129083313</v>
      </c>
    </row>
    <row r="13" spans="1:11" x14ac:dyDescent="0.2">
      <c r="A13" s="3" t="s">
        <v>73</v>
      </c>
      <c r="G13" s="13">
        <f>IF(COUNT(G6:G9)&lt;2,"",G12/SQRT(COUNT(G6:G9)))</f>
        <v>2.9666933796534134</v>
      </c>
    </row>
    <row r="14" spans="1:11" x14ac:dyDescent="0.2">
      <c r="A14" s="3" t="s">
        <v>74</v>
      </c>
      <c r="G14" s="11">
        <v>79.7</v>
      </c>
      <c r="K14" s="2" t="s">
        <v>75</v>
      </c>
    </row>
    <row r="15" spans="1:11" x14ac:dyDescent="0.2">
      <c r="A15" s="3" t="s">
        <v>53</v>
      </c>
      <c r="G15" s="13">
        <f>IF(G11="","",100*(G11-G14)/G14)</f>
        <v>7.7363506422147879</v>
      </c>
    </row>
    <row r="17" spans="1:1" x14ac:dyDescent="0.2">
      <c r="A17" s="2" t="s">
        <v>76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2"/>
  <sheetViews>
    <sheetView tabSelected="1" zoomScaleNormal="100" workbookViewId="0">
      <selection activeCell="F8" sqref="F8"/>
    </sheetView>
  </sheetViews>
  <sheetFormatPr baseColWidth="10" defaultColWidth="8.6640625" defaultRowHeight="15" x14ac:dyDescent="0.2"/>
  <cols>
    <col min="1" max="1" width="16" customWidth="1"/>
    <col min="2" max="2" width="15" customWidth="1"/>
    <col min="3" max="3" width="10" customWidth="1"/>
    <col min="4" max="4" width="16" customWidth="1"/>
    <col min="5" max="5" width="10" customWidth="1"/>
    <col min="6" max="6" width="14" customWidth="1"/>
    <col min="7" max="8" width="11" customWidth="1"/>
    <col min="9" max="9" width="28" customWidth="1"/>
  </cols>
  <sheetData>
    <row r="1" spans="1:9" ht="18" x14ac:dyDescent="0.2">
      <c r="A1" s="1" t="s">
        <v>77</v>
      </c>
    </row>
    <row r="2" spans="1:9" x14ac:dyDescent="0.2">
      <c r="A2" s="2" t="s">
        <v>78</v>
      </c>
    </row>
    <row r="4" spans="1:9" ht="48" customHeight="1" x14ac:dyDescent="0.2">
      <c r="A4" s="4" t="s">
        <v>28</v>
      </c>
      <c r="B4" s="4" t="s">
        <v>79</v>
      </c>
      <c r="C4" s="4" t="s">
        <v>80</v>
      </c>
      <c r="D4" s="4" t="s">
        <v>81</v>
      </c>
      <c r="E4" s="4" t="s">
        <v>82</v>
      </c>
      <c r="F4" s="4" t="s">
        <v>33</v>
      </c>
      <c r="G4" s="4" t="s">
        <v>83</v>
      </c>
      <c r="H4" s="4" t="s">
        <v>84</v>
      </c>
      <c r="I4" s="4" t="s">
        <v>1</v>
      </c>
    </row>
    <row r="5" spans="1:9" x14ac:dyDescent="0.2">
      <c r="A5" s="8" t="s">
        <v>70</v>
      </c>
      <c r="B5" s="9">
        <v>100.2</v>
      </c>
      <c r="C5" s="9">
        <v>49.8</v>
      </c>
      <c r="D5" s="9">
        <v>99.9</v>
      </c>
      <c r="E5" s="9">
        <v>5.3</v>
      </c>
      <c r="F5" s="9">
        <v>30</v>
      </c>
      <c r="G5" s="9">
        <f>IF(COUNT(B5:F5)&lt;5,"",D5*(E5-F5)/(F5-C5)-B5)</f>
        <v>24.4227272727273</v>
      </c>
      <c r="H5" s="9">
        <f>IF(G5="","",SQRT((((E5-F5)/(F5-C5))^2+1)*Parametri!$B$7^2+(D5/(F5-C5))^2*Parametri!$B$8^2+(D5*(E5-F5)/(F5-C5)^2)^2*Parametri!$B$8^2+(D5*(E5-C5)/(F5-C5)^2)^2*Parametri!$B$8^2))</f>
        <v>2.7878023286777074</v>
      </c>
      <c r="I5" s="8" t="s">
        <v>38</v>
      </c>
    </row>
    <row r="6" spans="1:9" x14ac:dyDescent="0.2">
      <c r="A6" s="6">
        <v>1</v>
      </c>
      <c r="B6" s="11">
        <v>105.2</v>
      </c>
      <c r="C6" s="11">
        <v>49.4</v>
      </c>
      <c r="D6" s="11">
        <v>102.5</v>
      </c>
      <c r="E6" s="11">
        <v>3</v>
      </c>
      <c r="F6" s="11">
        <v>28.2</v>
      </c>
      <c r="G6" s="13">
        <f>IF(COUNT(B6:F6)&lt;5,"",D6*(E6-F6)/(F6-C6)-B6)</f>
        <v>16.639622641509433</v>
      </c>
      <c r="H6" s="13">
        <f>IF(G6="","",SQRT((((E6-F6)/(F6-C6))^2+1)*Parametri!$B$7^2+(D6/(F6-C6))^2*Parametri!$B$8^2+(D6*(E6-F6)/(F6-C6)^2)^2*Parametri!$B$8^2+(D6*(E6-C6)/(F6-C6)^2)^2*Parametri!$B$8^2))</f>
        <v>2.5999173305510239</v>
      </c>
      <c r="I6" s="6"/>
    </row>
    <row r="7" spans="1:9" x14ac:dyDescent="0.2">
      <c r="A7" s="6">
        <v>2</v>
      </c>
      <c r="B7" s="11">
        <v>99.7</v>
      </c>
      <c r="C7" s="11">
        <v>49</v>
      </c>
      <c r="D7" s="11">
        <v>99.5</v>
      </c>
      <c r="E7" s="11">
        <v>7.2</v>
      </c>
      <c r="F7" s="11">
        <v>30</v>
      </c>
      <c r="G7" s="13">
        <f>IF(COUNT(B7:F7)&lt;5,"",D7*(E7-F7)/(F7-C7)-B7)</f>
        <v>19.699999999999989</v>
      </c>
      <c r="H7" s="13">
        <f>IF(G7="","",SQRT((((E7-F7)/(F7-C7))^2+1)*Parametri!$B$7^2+(D7/(F7-C7))^2*Parametri!$B$8^2+(D7*(E7-F7)/(F7-C7)^2)^2*Parametri!$B$8^2+(D7*(E7-C7)/(F7-C7)^2)^2*Parametri!$B$8^2))</f>
        <v>2.8302683329615759</v>
      </c>
      <c r="I7" s="6"/>
    </row>
    <row r="8" spans="1:9" x14ac:dyDescent="0.2">
      <c r="A8" s="6">
        <v>3</v>
      </c>
      <c r="B8" s="11"/>
      <c r="C8" s="11"/>
      <c r="D8" s="11"/>
      <c r="E8" s="11"/>
      <c r="F8" s="11"/>
      <c r="G8" s="13" t="str">
        <f>IF(COUNT(B8:F8)&lt;5,"",D8*(E8-F8)/(F8-C8)-B8)</f>
        <v/>
      </c>
      <c r="H8" s="13" t="str">
        <f>IF(G8="","",SQRT((((E8-F8)/(F8-C8))^2+1)*Parametri!$B$7^2+(D8/(F8-C8))^2*Parametri!$B$8^2+(D8*(E8-F8)/(F8-C8)^2)^2*Parametri!$B$8^2+(D8*(E8-C8)/(F8-C8)^2)^2*Parametri!$B$8^2))</f>
        <v/>
      </c>
      <c r="I8" s="6"/>
    </row>
    <row r="10" spans="1:9" x14ac:dyDescent="0.2">
      <c r="A10" s="3" t="s">
        <v>85</v>
      </c>
      <c r="G10" s="13">
        <f>IF(COUNT(G6:G8)=0,"",AVERAGE(G6:G8))</f>
        <v>18.169811320754711</v>
      </c>
    </row>
    <row r="12" spans="1:9" x14ac:dyDescent="0.2">
      <c r="A12" s="2" t="s">
        <v>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Parametri</vt:lpstr>
      <vt:lpstr>Calore specifico</vt:lpstr>
      <vt:lpstr>Riepilogo c</vt:lpstr>
      <vt:lpstr>Calore latente</vt:lpstr>
      <vt:lpstr>Massa equivalente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MILOZZI FILIPPO</cp:lastModifiedBy>
  <cp:revision>0</cp:revision>
  <dcterms:created xsi:type="dcterms:W3CDTF">2026-10-19T08:34:48Z</dcterms:created>
  <dcterms:modified xsi:type="dcterms:W3CDTF">2026-10-19T11:45:09Z</dcterms:modified>
  <dc:language>en-US</dc:language>
</cp:coreProperties>
</file>